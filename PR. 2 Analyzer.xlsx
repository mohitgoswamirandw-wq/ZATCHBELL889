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admin\Downloads\"/>
    </mc:Choice>
  </mc:AlternateContent>
  <xr:revisionPtr revIDLastSave="0" documentId="13_ncr:1_{23F9AB57-2E0E-4D1F-9DD2-1168326B7041}" xr6:coauthVersionLast="47" xr6:coauthVersionMax="47" xr10:uidLastSave="{00000000-0000-0000-0000-000000000000}"/>
  <bookViews>
    <workbookView xWindow="-120" yWindow="-120" windowWidth="29040" windowHeight="16440" activeTab="3" xr2:uid="{00000000-000D-0000-FFFF-FFFF00000000}"/>
  </bookViews>
  <sheets>
    <sheet name="Project Instructions" sheetId="1" r:id="rId1"/>
    <sheet name="zone wise sales" sheetId="6" r:id="rId2"/>
    <sheet name="Dataset" sheetId="2" r:id="rId3"/>
    <sheet name="deshboard" sheetId="5" r:id="rId4"/>
    <sheet name="whai if and arrow" sheetId="3" r:id="rId5"/>
  </sheets>
  <definedNames>
    <definedName name="_xlnm._FilterDatabase" localSheetId="2" hidden="1">Dataset!$J$1:$J$1000</definedName>
    <definedName name="Slicer_Months__Order_Date">#N/A</definedName>
    <definedName name="Slicer_Product_Category">#N/A</definedName>
    <definedName name="Slicer_Region">#N/A</definedName>
    <definedName name="Slicer_Years__Order_Date">#N/A</definedName>
  </definedNames>
  <calcPr calcId="191028"/>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 i="3" l="1"/>
  <c r="K5" i="3"/>
  <c r="K6" i="3"/>
  <c r="K7" i="3"/>
  <c r="K3" i="3"/>
  <c r="L3" i="3" l="1"/>
  <c r="C5" i="3" l="1"/>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4" i="3"/>
  <c r="J3" i="2" a="1"/>
  <c r="J3" i="2"/>
  <c r="J4" i="2" a="1"/>
  <c r="J4" i="2"/>
  <c r="J5" i="2" a="1"/>
  <c r="J5" i="2"/>
  <c r="J6" i="2" a="1"/>
  <c r="J6" i="2"/>
  <c r="J7" i="2" a="1"/>
  <c r="J7" i="2"/>
  <c r="J8" i="2" a="1"/>
  <c r="J8" i="2"/>
  <c r="J9" i="2" a="1"/>
  <c r="J9" i="2"/>
  <c r="J10" i="2" a="1"/>
  <c r="J10" i="2"/>
  <c r="J11" i="2" a="1"/>
  <c r="J11" i="2"/>
  <c r="J12" i="2" a="1"/>
  <c r="J12" i="2"/>
  <c r="J13" i="2" a="1"/>
  <c r="J13" i="2"/>
  <c r="J14" i="2" a="1"/>
  <c r="J14" i="2"/>
  <c r="J15" i="2" a="1"/>
  <c r="J15" i="2"/>
  <c r="J16" i="2" a="1"/>
  <c r="J16" i="2"/>
  <c r="J17" i="2" a="1"/>
  <c r="J17" i="2"/>
  <c r="J18" i="2" a="1"/>
  <c r="J18" i="2"/>
  <c r="J19" i="2" a="1"/>
  <c r="J19" i="2"/>
  <c r="J20" i="2" a="1"/>
  <c r="J20" i="2"/>
  <c r="J21" i="2" a="1"/>
  <c r="J21" i="2"/>
  <c r="J22" i="2" a="1"/>
  <c r="J22" i="2"/>
  <c r="J23" i="2" a="1"/>
  <c r="J23" i="2"/>
  <c r="J24" i="2" a="1"/>
  <c r="J24" i="2"/>
  <c r="J25" i="2" a="1"/>
  <c r="J25" i="2"/>
  <c r="J26" i="2" a="1"/>
  <c r="J26" i="2"/>
  <c r="J27" i="2" a="1"/>
  <c r="J27" i="2"/>
  <c r="J28" i="2" a="1"/>
  <c r="J28" i="2"/>
  <c r="J29" i="2" a="1"/>
  <c r="J29" i="2"/>
  <c r="J30" i="2" a="1"/>
  <c r="J30" i="2"/>
  <c r="J31" i="2" a="1"/>
  <c r="J31" i="2"/>
  <c r="J32" i="2" a="1"/>
  <c r="J32" i="2"/>
  <c r="J33" i="2" a="1"/>
  <c r="J33" i="2"/>
  <c r="J34" i="2" a="1"/>
  <c r="J34" i="2"/>
  <c r="J35" i="2" a="1"/>
  <c r="J35" i="2"/>
  <c r="J36" i="2" a="1"/>
  <c r="J36" i="2"/>
  <c r="J37" i="2" a="1"/>
  <c r="J37" i="2"/>
  <c r="J38" i="2" a="1"/>
  <c r="J38" i="2"/>
  <c r="J39" i="2" a="1"/>
  <c r="J39" i="2"/>
  <c r="J40" i="2" a="1"/>
  <c r="J40" i="2"/>
  <c r="J41" i="2" a="1"/>
  <c r="J41" i="2"/>
  <c r="J42" i="2" a="1"/>
  <c r="J42" i="2"/>
  <c r="J43" i="2" a="1"/>
  <c r="J43" i="2"/>
  <c r="J44" i="2" a="1"/>
  <c r="J44" i="2"/>
  <c r="J45" i="2" a="1"/>
  <c r="J45" i="2"/>
  <c r="J46" i="2" a="1"/>
  <c r="J46" i="2"/>
  <c r="J47" i="2" a="1"/>
  <c r="J47" i="2"/>
  <c r="J48" i="2" a="1"/>
  <c r="J48" i="2"/>
  <c r="J49" i="2" a="1"/>
  <c r="J49" i="2"/>
  <c r="J50" i="2" a="1"/>
  <c r="J50" i="2"/>
  <c r="J51" i="2" a="1"/>
  <c r="J51" i="2"/>
  <c r="J52" i="2" a="1"/>
  <c r="J52" i="2"/>
  <c r="J53" i="2" a="1"/>
  <c r="J53" i="2"/>
  <c r="J54" i="2" a="1"/>
  <c r="J54" i="2"/>
  <c r="J55" i="2" a="1"/>
  <c r="J55" i="2"/>
  <c r="J56" i="2" a="1"/>
  <c r="J56" i="2"/>
  <c r="J57" i="2" a="1"/>
  <c r="J57" i="2"/>
  <c r="J58" i="2" a="1"/>
  <c r="J58" i="2"/>
  <c r="J59" i="2" a="1"/>
  <c r="J59" i="2"/>
  <c r="J60" i="2" a="1"/>
  <c r="J60" i="2"/>
  <c r="J61" i="2" a="1"/>
  <c r="J61" i="2"/>
  <c r="J62" i="2" a="1"/>
  <c r="J62" i="2"/>
  <c r="J63" i="2" a="1"/>
  <c r="J63" i="2"/>
  <c r="J64" i="2" a="1"/>
  <c r="J64" i="2"/>
  <c r="J65" i="2" a="1"/>
  <c r="J65" i="2"/>
  <c r="J66" i="2" a="1"/>
  <c r="J66" i="2"/>
  <c r="J67" i="2" a="1"/>
  <c r="J67" i="2"/>
  <c r="J68" i="2" a="1"/>
  <c r="J68" i="2"/>
  <c r="J69" i="2" a="1"/>
  <c r="J69" i="2"/>
  <c r="J70" i="2" a="1"/>
  <c r="J70" i="2"/>
  <c r="J71" i="2" a="1"/>
  <c r="J71" i="2"/>
  <c r="J72" i="2" a="1"/>
  <c r="J72" i="2"/>
  <c r="J73" i="2" a="1"/>
  <c r="J73" i="2"/>
  <c r="J74" i="2" a="1"/>
  <c r="J74" i="2"/>
  <c r="J75" i="2" a="1"/>
  <c r="J75" i="2"/>
  <c r="J76" i="2" a="1"/>
  <c r="J76" i="2"/>
  <c r="J77" i="2" a="1"/>
  <c r="J77" i="2"/>
  <c r="J78" i="2" a="1"/>
  <c r="J78" i="2"/>
  <c r="J79" i="2" a="1"/>
  <c r="J79" i="2"/>
  <c r="J80" i="2" a="1"/>
  <c r="J80" i="2"/>
  <c r="J81" i="2" a="1"/>
  <c r="J81" i="2"/>
  <c r="J82" i="2" a="1"/>
  <c r="J82" i="2"/>
  <c r="J83" i="2" a="1"/>
  <c r="J83" i="2"/>
  <c r="J84" i="2" a="1"/>
  <c r="J84" i="2"/>
  <c r="J85" i="2" a="1"/>
  <c r="J85" i="2"/>
  <c r="J86" i="2" a="1"/>
  <c r="J86" i="2"/>
  <c r="J87" i="2" a="1"/>
  <c r="J87" i="2"/>
  <c r="J88" i="2" a="1"/>
  <c r="J88" i="2"/>
  <c r="J89" i="2" a="1"/>
  <c r="J89" i="2"/>
  <c r="J90" i="2" a="1"/>
  <c r="J90" i="2"/>
  <c r="J91" i="2" a="1"/>
  <c r="J91" i="2"/>
  <c r="J92" i="2" a="1"/>
  <c r="J92" i="2"/>
  <c r="J93" i="2" a="1"/>
  <c r="J93" i="2"/>
  <c r="J94" i="2" a="1"/>
  <c r="J94" i="2"/>
  <c r="J95" i="2" a="1"/>
  <c r="J95" i="2"/>
  <c r="J96" i="2" a="1"/>
  <c r="J96" i="2"/>
  <c r="J97" i="2" a="1"/>
  <c r="J97" i="2"/>
  <c r="J98" i="2" a="1"/>
  <c r="J98" i="2"/>
  <c r="J99" i="2" a="1"/>
  <c r="J99" i="2"/>
  <c r="J100" i="2" a="1"/>
  <c r="J100" i="2"/>
  <c r="J101" i="2" a="1"/>
  <c r="J101" i="2"/>
  <c r="J102" i="2" a="1"/>
  <c r="J102" i="2"/>
  <c r="J103" i="2" a="1"/>
  <c r="J103" i="2"/>
  <c r="J104" i="2" a="1"/>
  <c r="J104" i="2"/>
  <c r="J105" i="2" a="1"/>
  <c r="J105" i="2"/>
  <c r="J106" i="2" a="1"/>
  <c r="J106" i="2"/>
  <c r="J107" i="2" a="1"/>
  <c r="J107" i="2"/>
  <c r="J108" i="2" a="1"/>
  <c r="J108" i="2"/>
  <c r="J109" i="2" a="1"/>
  <c r="J109" i="2"/>
  <c r="J110" i="2" a="1"/>
  <c r="J110" i="2"/>
  <c r="J111" i="2" a="1"/>
  <c r="J111" i="2"/>
  <c r="J112" i="2" a="1"/>
  <c r="J112" i="2"/>
  <c r="J113" i="2" a="1"/>
  <c r="J113" i="2"/>
  <c r="J114" i="2" a="1"/>
  <c r="J114" i="2"/>
  <c r="J115" i="2" a="1"/>
  <c r="J115" i="2"/>
  <c r="J116" i="2" a="1"/>
  <c r="J116" i="2"/>
  <c r="J117" i="2" a="1"/>
  <c r="J117" i="2"/>
  <c r="J118" i="2" a="1"/>
  <c r="J118" i="2"/>
  <c r="J119" i="2" a="1"/>
  <c r="J119" i="2"/>
  <c r="J120" i="2" a="1"/>
  <c r="J120" i="2"/>
  <c r="J121" i="2" a="1"/>
  <c r="J121" i="2"/>
  <c r="J122" i="2" a="1"/>
  <c r="J122" i="2"/>
  <c r="J123" i="2" a="1"/>
  <c r="J123" i="2"/>
  <c r="J124" i="2" a="1"/>
  <c r="J124" i="2"/>
  <c r="J125" i="2" a="1"/>
  <c r="J125" i="2"/>
  <c r="J126" i="2" a="1"/>
  <c r="J126" i="2"/>
  <c r="J127" i="2" a="1"/>
  <c r="J127" i="2"/>
  <c r="J128" i="2" a="1"/>
  <c r="J128" i="2"/>
  <c r="J129" i="2" a="1"/>
  <c r="J129" i="2"/>
  <c r="J130" i="2" a="1"/>
  <c r="J130" i="2"/>
  <c r="J131" i="2" a="1"/>
  <c r="J131" i="2"/>
  <c r="J132" i="2" a="1"/>
  <c r="J132" i="2"/>
  <c r="J133" i="2" a="1"/>
  <c r="J133" i="2"/>
  <c r="J134" i="2" a="1"/>
  <c r="J134" i="2"/>
  <c r="J135" i="2" a="1"/>
  <c r="J135" i="2"/>
  <c r="J136" i="2" a="1"/>
  <c r="J136" i="2"/>
  <c r="J137" i="2" a="1"/>
  <c r="J137" i="2"/>
  <c r="J138" i="2" a="1"/>
  <c r="J138" i="2"/>
  <c r="J139" i="2" a="1"/>
  <c r="J139" i="2"/>
  <c r="J140" i="2" a="1"/>
  <c r="J140" i="2"/>
  <c r="J141" i="2" a="1"/>
  <c r="J141" i="2"/>
  <c r="J142" i="2" a="1"/>
  <c r="J142" i="2"/>
  <c r="J143" i="2" a="1"/>
  <c r="J143" i="2"/>
  <c r="J144" i="2" a="1"/>
  <c r="J144" i="2"/>
  <c r="J145" i="2" a="1"/>
  <c r="J145" i="2"/>
  <c r="J146" i="2" a="1"/>
  <c r="J146" i="2"/>
  <c r="J147" i="2" a="1"/>
  <c r="J147" i="2"/>
  <c r="J148" i="2" a="1"/>
  <c r="J148" i="2"/>
  <c r="J149" i="2" a="1"/>
  <c r="J149" i="2"/>
  <c r="J150" i="2" a="1"/>
  <c r="J150" i="2"/>
  <c r="J151" i="2" a="1"/>
  <c r="J151" i="2"/>
  <c r="J152" i="2" a="1"/>
  <c r="J152" i="2"/>
  <c r="J153" i="2" a="1"/>
  <c r="J153" i="2"/>
  <c r="J154" i="2" a="1"/>
  <c r="J154" i="2"/>
  <c r="J155" i="2" a="1"/>
  <c r="J155" i="2"/>
  <c r="J156" i="2" a="1"/>
  <c r="J156" i="2"/>
  <c r="J157" i="2" a="1"/>
  <c r="J157" i="2"/>
  <c r="J158" i="2" a="1"/>
  <c r="J158" i="2"/>
  <c r="J159" i="2" a="1"/>
  <c r="J159" i="2"/>
  <c r="J160" i="2" a="1"/>
  <c r="J160" i="2"/>
  <c r="J161" i="2" a="1"/>
  <c r="J161" i="2"/>
  <c r="J162" i="2" a="1"/>
  <c r="J162" i="2"/>
  <c r="J163" i="2" a="1"/>
  <c r="J163" i="2"/>
  <c r="J164" i="2" a="1"/>
  <c r="J164" i="2"/>
  <c r="J165" i="2" a="1"/>
  <c r="J165" i="2"/>
  <c r="J166" i="2" a="1"/>
  <c r="J166" i="2"/>
  <c r="J167" i="2" a="1"/>
  <c r="J167" i="2"/>
  <c r="J168" i="2" a="1"/>
  <c r="J168" i="2"/>
  <c r="J169" i="2" a="1"/>
  <c r="J169" i="2"/>
  <c r="J170" i="2" a="1"/>
  <c r="J170" i="2"/>
  <c r="J171" i="2" a="1"/>
  <c r="J171" i="2"/>
  <c r="J172" i="2" a="1"/>
  <c r="J172" i="2"/>
  <c r="J173" i="2" a="1"/>
  <c r="J173" i="2"/>
  <c r="J174" i="2" a="1"/>
  <c r="J174" i="2"/>
  <c r="J175" i="2" a="1"/>
  <c r="J175" i="2"/>
  <c r="J176" i="2" a="1"/>
  <c r="J176" i="2"/>
  <c r="J177" i="2" a="1"/>
  <c r="J177" i="2"/>
  <c r="J178" i="2" a="1"/>
  <c r="J178" i="2"/>
  <c r="J179" i="2" a="1"/>
  <c r="J179" i="2"/>
  <c r="J180" i="2" a="1"/>
  <c r="J180" i="2"/>
  <c r="J181" i="2" a="1"/>
  <c r="J181" i="2"/>
  <c r="J182" i="2" a="1"/>
  <c r="J182" i="2"/>
  <c r="J183" i="2" a="1"/>
  <c r="J183" i="2"/>
  <c r="J184" i="2" a="1"/>
  <c r="J184" i="2"/>
  <c r="J185" i="2" a="1"/>
  <c r="J185" i="2"/>
  <c r="J186" i="2" a="1"/>
  <c r="J186" i="2"/>
  <c r="J187" i="2" a="1"/>
  <c r="J187" i="2"/>
  <c r="J188" i="2" a="1"/>
  <c r="J188" i="2"/>
  <c r="J189" i="2" a="1"/>
  <c r="J189" i="2"/>
  <c r="J190" i="2" a="1"/>
  <c r="J190" i="2"/>
  <c r="J191" i="2" a="1"/>
  <c r="J191" i="2"/>
  <c r="J192" i="2" a="1"/>
  <c r="J192" i="2"/>
  <c r="J193" i="2" a="1"/>
  <c r="J193" i="2"/>
  <c r="J194" i="2" a="1"/>
  <c r="J194" i="2"/>
  <c r="J195" i="2" a="1"/>
  <c r="J195" i="2"/>
  <c r="J196" i="2" a="1"/>
  <c r="J196" i="2"/>
  <c r="J197" i="2" a="1"/>
  <c r="J197" i="2"/>
  <c r="J198" i="2" a="1"/>
  <c r="J198" i="2"/>
  <c r="J199" i="2" a="1"/>
  <c r="J199" i="2"/>
  <c r="J200" i="2" a="1"/>
  <c r="J200" i="2"/>
  <c r="J201" i="2" a="1"/>
  <c r="J201" i="2"/>
  <c r="J2" i="2" a="1"/>
  <c r="J2" i="2"/>
  <c r="P2" i="2"/>
  <c r="O2" i="2"/>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 i="2"/>
  <c r="R201"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 i="2"/>
  <c r="U2" i="2" l="1"/>
  <c r="S2" i="2"/>
  <c r="U201" i="2"/>
  <c r="S201" i="2"/>
  <c r="U200" i="2"/>
  <c r="S200" i="2"/>
  <c r="U199" i="2"/>
  <c r="S199" i="2"/>
  <c r="U198" i="2"/>
  <c r="S198" i="2"/>
  <c r="U197" i="2"/>
  <c r="S197" i="2"/>
  <c r="U196" i="2"/>
  <c r="S196" i="2"/>
  <c r="U195" i="2"/>
  <c r="S195" i="2"/>
  <c r="U194" i="2"/>
  <c r="S194" i="2"/>
  <c r="U193" i="2"/>
  <c r="S193" i="2"/>
  <c r="U192" i="2"/>
  <c r="S192" i="2"/>
  <c r="U191" i="2"/>
  <c r="S191" i="2"/>
  <c r="U190" i="2"/>
  <c r="S190" i="2"/>
  <c r="U189" i="2"/>
  <c r="S189" i="2"/>
  <c r="U188" i="2"/>
  <c r="S188" i="2"/>
  <c r="U187" i="2"/>
  <c r="S187" i="2"/>
  <c r="U186" i="2"/>
  <c r="S186" i="2"/>
  <c r="U185" i="2"/>
  <c r="S185" i="2"/>
  <c r="U184" i="2"/>
  <c r="S184" i="2"/>
  <c r="U183" i="2"/>
  <c r="S183" i="2"/>
  <c r="U182" i="2"/>
  <c r="S182" i="2"/>
  <c r="U181" i="2"/>
  <c r="S181" i="2"/>
  <c r="U180" i="2"/>
  <c r="S180" i="2"/>
  <c r="U179" i="2"/>
  <c r="S179" i="2"/>
  <c r="U178" i="2"/>
  <c r="S178" i="2"/>
  <c r="U177" i="2"/>
  <c r="S177" i="2"/>
  <c r="U176" i="2"/>
  <c r="S176" i="2"/>
  <c r="U175" i="2"/>
  <c r="S175" i="2"/>
  <c r="U174" i="2"/>
  <c r="S174" i="2"/>
  <c r="U173" i="2"/>
  <c r="S173" i="2"/>
  <c r="U172" i="2"/>
  <c r="S172" i="2"/>
  <c r="U171" i="2"/>
  <c r="S171" i="2"/>
  <c r="U170" i="2"/>
  <c r="S170" i="2"/>
  <c r="U169" i="2"/>
  <c r="S169" i="2"/>
  <c r="U168" i="2"/>
  <c r="S168" i="2"/>
  <c r="U167" i="2"/>
  <c r="S167" i="2"/>
  <c r="U166" i="2"/>
  <c r="S166" i="2"/>
  <c r="U165" i="2"/>
  <c r="S165" i="2"/>
  <c r="U164" i="2"/>
  <c r="S164" i="2"/>
  <c r="U163" i="2"/>
  <c r="S163" i="2"/>
  <c r="U162" i="2"/>
  <c r="S162" i="2"/>
  <c r="U161" i="2"/>
  <c r="S161" i="2"/>
  <c r="U160" i="2"/>
  <c r="S160" i="2"/>
  <c r="U159" i="2"/>
  <c r="S159" i="2"/>
  <c r="U158" i="2"/>
  <c r="S158" i="2"/>
  <c r="U157" i="2"/>
  <c r="S157" i="2"/>
  <c r="U156" i="2"/>
  <c r="S156" i="2"/>
  <c r="U155" i="2"/>
  <c r="S155" i="2"/>
  <c r="U154" i="2"/>
  <c r="S154" i="2"/>
  <c r="U153" i="2"/>
  <c r="S153" i="2"/>
  <c r="U152" i="2"/>
  <c r="S152" i="2"/>
  <c r="U151" i="2"/>
  <c r="S151" i="2"/>
  <c r="U150" i="2"/>
  <c r="S150" i="2"/>
  <c r="U149" i="2"/>
  <c r="S149" i="2"/>
  <c r="U148" i="2"/>
  <c r="S148" i="2"/>
  <c r="U147" i="2"/>
  <c r="S147" i="2"/>
  <c r="U146" i="2"/>
  <c r="S146" i="2"/>
  <c r="U145" i="2"/>
  <c r="S145" i="2"/>
  <c r="U144" i="2"/>
  <c r="S144" i="2"/>
  <c r="U143" i="2"/>
  <c r="S143" i="2"/>
  <c r="U142" i="2"/>
  <c r="S142" i="2"/>
  <c r="U141" i="2"/>
  <c r="S141" i="2"/>
  <c r="U140" i="2"/>
  <c r="S140" i="2"/>
  <c r="U139" i="2"/>
  <c r="S139" i="2"/>
  <c r="U138" i="2"/>
  <c r="S138" i="2"/>
  <c r="U137" i="2"/>
  <c r="S137" i="2"/>
  <c r="U136" i="2"/>
  <c r="S136" i="2"/>
  <c r="U135" i="2"/>
  <c r="S135" i="2"/>
  <c r="U134" i="2"/>
  <c r="S134" i="2"/>
  <c r="U133" i="2"/>
  <c r="S133" i="2"/>
  <c r="U132" i="2"/>
  <c r="S132" i="2"/>
  <c r="U131" i="2"/>
  <c r="S131" i="2"/>
  <c r="U130" i="2"/>
  <c r="S130" i="2"/>
  <c r="U129" i="2"/>
  <c r="S129" i="2"/>
  <c r="U128" i="2"/>
  <c r="S128" i="2"/>
  <c r="U127" i="2"/>
  <c r="S127" i="2"/>
  <c r="U126" i="2"/>
  <c r="S126" i="2"/>
  <c r="U125" i="2"/>
  <c r="S125" i="2"/>
  <c r="U124" i="2"/>
  <c r="S124" i="2"/>
  <c r="U123" i="2"/>
  <c r="S123" i="2"/>
  <c r="U122" i="2"/>
  <c r="S122" i="2"/>
  <c r="U121" i="2"/>
  <c r="S121" i="2"/>
  <c r="U120" i="2"/>
  <c r="S120" i="2"/>
  <c r="U119" i="2"/>
  <c r="S119" i="2"/>
  <c r="U118" i="2"/>
  <c r="S118" i="2"/>
  <c r="U117" i="2"/>
  <c r="S117" i="2"/>
  <c r="U116" i="2"/>
  <c r="S116" i="2"/>
  <c r="U115" i="2"/>
  <c r="S115" i="2"/>
  <c r="U114" i="2"/>
  <c r="S114" i="2"/>
  <c r="U113" i="2"/>
  <c r="S113" i="2"/>
  <c r="U112" i="2"/>
  <c r="S112" i="2"/>
  <c r="U111" i="2"/>
  <c r="S111" i="2"/>
  <c r="U110" i="2"/>
  <c r="S110" i="2"/>
  <c r="U109" i="2"/>
  <c r="S109" i="2"/>
  <c r="U108" i="2"/>
  <c r="S108" i="2"/>
  <c r="U107" i="2"/>
  <c r="S107" i="2"/>
  <c r="U106" i="2"/>
  <c r="S106" i="2"/>
  <c r="U105" i="2"/>
  <c r="S105" i="2"/>
  <c r="U104" i="2"/>
  <c r="S104" i="2"/>
  <c r="U103" i="2"/>
  <c r="S103" i="2"/>
  <c r="U102" i="2"/>
  <c r="S102" i="2"/>
  <c r="U101" i="2"/>
  <c r="S101" i="2"/>
  <c r="U100" i="2"/>
  <c r="S100" i="2"/>
  <c r="U99" i="2"/>
  <c r="S99" i="2"/>
  <c r="U98" i="2"/>
  <c r="S98" i="2"/>
  <c r="U97" i="2"/>
  <c r="S97" i="2"/>
  <c r="U96" i="2"/>
  <c r="S96" i="2"/>
  <c r="U95" i="2"/>
  <c r="S95" i="2"/>
  <c r="U94" i="2"/>
  <c r="S94" i="2"/>
  <c r="U93" i="2"/>
  <c r="S93" i="2"/>
  <c r="U92" i="2"/>
  <c r="S92" i="2"/>
  <c r="U91" i="2"/>
  <c r="S91" i="2"/>
  <c r="U90" i="2"/>
  <c r="S90" i="2"/>
  <c r="U89" i="2"/>
  <c r="S89" i="2"/>
  <c r="U88" i="2"/>
  <c r="S88" i="2"/>
  <c r="U87" i="2"/>
  <c r="S87" i="2"/>
  <c r="U86" i="2"/>
  <c r="S86" i="2"/>
  <c r="U85" i="2"/>
  <c r="S85" i="2"/>
  <c r="U84" i="2"/>
  <c r="S84" i="2"/>
  <c r="U83" i="2"/>
  <c r="S83" i="2"/>
  <c r="U82" i="2"/>
  <c r="S82" i="2"/>
  <c r="U81" i="2"/>
  <c r="S81" i="2"/>
  <c r="U80" i="2"/>
  <c r="S80" i="2"/>
  <c r="U79" i="2"/>
  <c r="S79" i="2"/>
  <c r="U78" i="2"/>
  <c r="S78" i="2"/>
  <c r="U77" i="2"/>
  <c r="S77" i="2"/>
  <c r="U76" i="2"/>
  <c r="S76" i="2"/>
  <c r="U75" i="2"/>
  <c r="S75" i="2"/>
  <c r="U74" i="2"/>
  <c r="S74" i="2"/>
  <c r="U73" i="2"/>
  <c r="S73" i="2"/>
  <c r="U72" i="2"/>
  <c r="S72" i="2"/>
  <c r="U71" i="2"/>
  <c r="S71" i="2"/>
  <c r="U70" i="2"/>
  <c r="S70" i="2"/>
  <c r="U69" i="2"/>
  <c r="S69" i="2"/>
  <c r="U68" i="2"/>
  <c r="S68" i="2"/>
  <c r="U67" i="2"/>
  <c r="S67" i="2"/>
  <c r="U66" i="2"/>
  <c r="S66" i="2"/>
  <c r="U65" i="2"/>
  <c r="S65" i="2"/>
  <c r="U64" i="2"/>
  <c r="S64" i="2"/>
  <c r="U63" i="2"/>
  <c r="S63" i="2"/>
  <c r="U62" i="2"/>
  <c r="S62" i="2"/>
  <c r="U61" i="2"/>
  <c r="S61" i="2"/>
  <c r="U60" i="2"/>
  <c r="S60" i="2"/>
  <c r="U59" i="2"/>
  <c r="S59" i="2"/>
  <c r="U58" i="2"/>
  <c r="S58" i="2"/>
  <c r="U57" i="2"/>
  <c r="S57" i="2"/>
  <c r="U56" i="2"/>
  <c r="S56" i="2"/>
  <c r="U55" i="2"/>
  <c r="S55" i="2"/>
  <c r="U54" i="2"/>
  <c r="S54" i="2"/>
  <c r="U53" i="2"/>
  <c r="S53" i="2"/>
  <c r="U52" i="2"/>
  <c r="S52" i="2"/>
  <c r="U51" i="2"/>
  <c r="S51" i="2"/>
  <c r="U50" i="2"/>
  <c r="S50" i="2"/>
  <c r="U49" i="2"/>
  <c r="S49" i="2"/>
  <c r="U48" i="2"/>
  <c r="S48" i="2"/>
  <c r="U47" i="2"/>
  <c r="S47" i="2"/>
  <c r="U46" i="2"/>
  <c r="S46" i="2"/>
  <c r="U45" i="2"/>
  <c r="S45" i="2"/>
  <c r="U44" i="2"/>
  <c r="S44" i="2"/>
  <c r="U43" i="2"/>
  <c r="S43" i="2"/>
  <c r="U42" i="2"/>
  <c r="S42" i="2"/>
  <c r="U41" i="2"/>
  <c r="S41" i="2"/>
  <c r="U40" i="2"/>
  <c r="S40" i="2"/>
  <c r="U39" i="2"/>
  <c r="S39" i="2"/>
  <c r="U38" i="2"/>
  <c r="S38" i="2"/>
  <c r="U37" i="2"/>
  <c r="S37" i="2"/>
  <c r="U36" i="2"/>
  <c r="S36" i="2"/>
  <c r="U35" i="2"/>
  <c r="S35" i="2"/>
  <c r="U34" i="2"/>
  <c r="S34" i="2"/>
  <c r="U33" i="2"/>
  <c r="S33" i="2"/>
  <c r="U32" i="2"/>
  <c r="S32" i="2"/>
  <c r="U31" i="2"/>
  <c r="S31" i="2"/>
  <c r="U30" i="2"/>
  <c r="S30" i="2"/>
  <c r="U29" i="2"/>
  <c r="S29" i="2"/>
  <c r="U28" i="2"/>
  <c r="S28" i="2"/>
  <c r="U27" i="2"/>
  <c r="S27" i="2"/>
  <c r="U26" i="2"/>
  <c r="S26" i="2"/>
  <c r="U25" i="2"/>
  <c r="S25" i="2"/>
  <c r="U24" i="2"/>
  <c r="S24" i="2"/>
  <c r="U23" i="2"/>
  <c r="S23" i="2"/>
  <c r="U22" i="2"/>
  <c r="S22" i="2"/>
  <c r="U21" i="2"/>
  <c r="S21" i="2"/>
  <c r="U20" i="2"/>
  <c r="S20" i="2"/>
  <c r="U19" i="2"/>
  <c r="S19" i="2"/>
  <c r="U18" i="2"/>
  <c r="S18" i="2"/>
  <c r="U17" i="2"/>
  <c r="S17" i="2"/>
  <c r="U16" i="2"/>
  <c r="S16" i="2"/>
  <c r="U15" i="2"/>
  <c r="S15" i="2"/>
  <c r="U14" i="2"/>
  <c r="S14" i="2"/>
  <c r="U13" i="2"/>
  <c r="S13" i="2"/>
  <c r="U12" i="2"/>
  <c r="S12" i="2"/>
  <c r="U11" i="2"/>
  <c r="S11" i="2"/>
  <c r="U10" i="2"/>
  <c r="S10" i="2"/>
  <c r="U9" i="2"/>
  <c r="S9" i="2"/>
  <c r="U8" i="2"/>
  <c r="S8" i="2"/>
  <c r="U7" i="2"/>
  <c r="S7" i="2"/>
  <c r="U6" i="2"/>
  <c r="S6" i="2"/>
  <c r="U5" i="2"/>
  <c r="S5" i="2"/>
  <c r="U4" i="2"/>
  <c r="S4" i="2"/>
  <c r="U3" i="2"/>
  <c r="S3" i="2"/>
  <c r="T2" i="2" l="1"/>
  <c r="V2" i="2"/>
  <c r="M2" i="2" l="1"/>
  <c r="N2" i="2" l="1"/>
  <c r="K203" i="2" l="1"/>
  <c r="K204" i="2"/>
  <c r="K205" i="2"/>
  <c r="K206" i="2"/>
  <c r="K20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<sst xmlns="http://schemas.openxmlformats.org/spreadsheetml/2006/main" count="849" uniqueCount="102">
  <si>
    <t>PR. 2 Analyzer</t>
  </si>
  <si>
    <r>
      <rPr>
        <b/>
        <sz val="11"/>
        <color rgb="FF000000"/>
        <rFont val="Calibri"/>
      </rPr>
      <t xml:space="preserve">Topics:
</t>
    </r>
    <r>
      <rPr>
        <sz val="11"/>
        <color rgb="FF000000"/>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 xml:space="preserve">Main Tasks:
</t>
    </r>
    <r>
      <rPr>
        <sz val="11"/>
        <color rgb="FF38761D"/>
        <rFont val="Calibri"/>
      </rPr>
      <t xml:space="preserve">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
</t>
    </r>
    <r>
      <rPr>
        <sz val="11"/>
        <color rgb="FF000000"/>
        <rFont val="Calibri"/>
      </rPr>
      <t xml:space="preserve"> 
</t>
    </r>
    <r>
      <rPr>
        <b/>
        <sz val="11"/>
        <color rgb="FF000000"/>
        <rFont val="Calibri"/>
      </rPr>
      <t xml:space="preserve">Deliverable:
</t>
    </r>
    <r>
      <rPr>
        <sz val="11"/>
        <color rgb="FF000000"/>
        <rFont val="Calibri"/>
      </rPr>
      <t>Complete the given worksheet by applying the required formulas in respective sheets.</t>
    </r>
  </si>
  <si>
    <t>Sum of Sales</t>
  </si>
  <si>
    <t>Region</t>
  </si>
  <si>
    <t>Product_Category</t>
  </si>
  <si>
    <t>Central</t>
  </si>
  <si>
    <t>East</t>
  </si>
  <si>
    <t>North</t>
  </si>
  <si>
    <t>South</t>
  </si>
  <si>
    <t>West</t>
  </si>
  <si>
    <t>Grand Total</t>
  </si>
  <si>
    <t>Books</t>
  </si>
  <si>
    <t>Clothing</t>
  </si>
  <si>
    <t>Electronics</t>
  </si>
  <si>
    <t>Furniture</t>
  </si>
  <si>
    <t>Office Supplies</t>
  </si>
  <si>
    <t>Customer_ID</t>
  </si>
  <si>
    <t>Customer_Name</t>
  </si>
  <si>
    <t>Sales</t>
  </si>
  <si>
    <t>Quantity</t>
  </si>
  <si>
    <t>Discount</t>
  </si>
  <si>
    <t>Order_Date</t>
  </si>
  <si>
    <t>Profit</t>
  </si>
  <si>
    <t>high value customers</t>
  </si>
  <si>
    <t>y= mx+c</t>
  </si>
  <si>
    <t>time stemp</t>
  </si>
  <si>
    <t>M</t>
  </si>
  <si>
    <t>C</t>
  </si>
  <si>
    <t>mean of x</t>
  </si>
  <si>
    <t>mean of y</t>
  </si>
  <si>
    <t>diffrance x</t>
  </si>
  <si>
    <t>diffrance y</t>
  </si>
  <si>
    <t xml:space="preserve">division of x and y </t>
  </si>
  <si>
    <t>sum of r</t>
  </si>
  <si>
    <t xml:space="preserve">squrea of x  </t>
  </si>
  <si>
    <t xml:space="preserve">sum of squre of x </t>
  </si>
  <si>
    <t>CUST019</t>
  </si>
  <si>
    <t>James Davis</t>
  </si>
  <si>
    <t>CUST012</t>
  </si>
  <si>
    <t>Robert Anderson</t>
  </si>
  <si>
    <t>CUST017</t>
  </si>
  <si>
    <t>James Taylor</t>
  </si>
  <si>
    <t>CUST005</t>
  </si>
  <si>
    <t>CUST030</t>
  </si>
  <si>
    <t>James Wilson</t>
  </si>
  <si>
    <t>CUST007</t>
  </si>
  <si>
    <t>Michael Anderson</t>
  </si>
  <si>
    <t>CUST001</t>
  </si>
  <si>
    <t>Linda Wilson</t>
  </si>
  <si>
    <t>CUST026</t>
  </si>
  <si>
    <t>Mary Davis</t>
  </si>
  <si>
    <t>CUST009</t>
  </si>
  <si>
    <t>Linda Jackson</t>
  </si>
  <si>
    <t>CUST010</t>
  </si>
  <si>
    <t>David Thomas</t>
  </si>
  <si>
    <t>CUST014</t>
  </si>
  <si>
    <t>Emma Davis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</si>
  <si>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</si>
  <si>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</si>
  <si>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</si>
  <si>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</si>
  <si>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</si>
  <si>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</si>
  <si>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</si>
  <si>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</si>
  <si>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</si>
  <si>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</si>
  <si>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</si>
  <si>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</si>
  <si>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</si>
  <si>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</si>
  <si>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</si>
  <si>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</si>
  <si>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</si>
  <si>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</si>
  <si>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</si>
  <si>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</si>
  <si>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</si>
  <si>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</si>
  <si>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</si>
  <si>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</si>
  <si>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</si>
  <si>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</si>
  <si>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</si>
  <si>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</si>
  <si>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</si>
  <si>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</si>
  <si>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</si>
  <si>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</si>
  <si>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</si>
  <si>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</si>
  <si>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</si>
  <si>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</si>
  <si>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 xml:space="preserve">months </t>
  </si>
  <si>
    <t>sales</t>
  </si>
  <si>
    <t>Row Labels</t>
  </si>
  <si>
    <t>Sum of sales</t>
  </si>
  <si>
    <t>discount</t>
  </si>
  <si>
    <t>profit</t>
  </si>
  <si>
    <t>Total profit</t>
  </si>
  <si>
    <t xml:space="preserve">What if analysis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</si>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</sst>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b/>
      <sz val="11"/>
      <color rgb="FF000000"/>
      <name val="Calibri"/>
    </font>
    <font>
      <sz val="11"/>
      <color rgb="FF000000"/>
      <name val="Calibri"/>
    </font>
    <font>
      <b/>
      <sz val="11"/>
      <color theme="1"/>
      <name val="Calibri"/>
      <family val="2"/>
      <scheme val="minor"/>
    </font>
  </fonts>
  <fills count="8">
    <fill>
      <patternFill patternType="none"/>
    </fill>
    <fill>
      <patternFill patternType="gray125"/>
    </fill>
    <fill>
      <patternFill patternType="solid">
        <fgColor rgb="FFFFF2CC"/>
        <bgColor rgb="FFFFF2CC"/>
      </patternFill>
    </fill>
    <fill>
      <patternFill patternType="solid">
        <fgColor theme="6" tint="-0.249977111117893"/>
        <bgColor indexed="64"/>
      </patternFill>
    </fill>
    <fill>
      <patternFill patternType="solid">
        <fgColor theme="4" tint="0.39997558519241921"/>
        <bgColor indexed="64"/>
      </patternFill>
    </fill>
    <fill>
      <patternFill patternType="solid">
        <fgColor theme="3" tint="0.499984740745262"/>
        <bgColor indexed="64"/>
      </patternFill>
    </fill>
    <fill>
      <patternFill patternType="solid">
        <fgColor rgb="FFFFFF00"/>
        <bgColor indexed="64"/>
      </patternFill>
    </fill>
    <fill>
      <patternFill patternType="solid">
        <fgColor rgb="FF00B05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applyFont="1" applyAlignment="1"/>
    <xf numFmtId="0" fontId="2" fillId="0" borderId="0" xfId="0" applyFont="1"/>
    <xf numFmtId="0" fontId="3" fillId="0" borderId="0" xfId="0" applyFont="1" applyAlignment="1"/>
    <xf numFmtId="0" fontId="3" fillId="0" borderId="0" xfId="0" applyFont="1"/>
    <xf numFmtId="0" fontId="4" fillId="0" borderId="0" xfId="0" applyFont="1" applyAlignment="1"/>
    <xf numFmtId="164" fontId="4" fillId="0" borderId="0" xfId="0" applyNumberFormat="1" applyFont="1" applyAlignment="1"/>
    <xf numFmtId="0" fontId="1" fillId="2" borderId="1" xfId="0" applyFont="1" applyFill="1" applyBorder="1" applyAlignment="1">
      <alignment horizontal="center" wrapText="1"/>
    </xf>
    <xf numFmtId="0" fontId="2" fillId="0" borderId="1" xfId="0" applyFont="1" applyBorder="1" applyAlignment="1">
      <alignment wrapText="1"/>
    </xf>
    <xf numFmtId="0" fontId="3" fillId="0" borderId="0" xfId="0" applyFont="1" applyAlignment="1">
      <alignment wrapText="1"/>
    </xf>
    <xf numFmtId="0" fontId="0" fillId="3" borderId="2" xfId="0" applyFont="1" applyFill="1" applyBorder="1" applyAlignment="1"/>
    <xf numFmtId="0" fontId="0" fillId="3" borderId="3" xfId="0" applyFont="1" applyFill="1" applyBorder="1" applyAlignment="1"/>
    <xf numFmtId="0" fontId="0" fillId="3" borderId="4" xfId="0" applyFont="1" applyFill="1" applyBorder="1" applyAlignment="1"/>
    <xf numFmtId="0" fontId="0" fillId="0" borderId="2" xfId="0" applyFont="1" applyBorder="1" applyAlignment="1"/>
    <xf numFmtId="0" fontId="0" fillId="0" borderId="3" xfId="0" applyFont="1" applyBorder="1" applyAlignment="1"/>
    <xf numFmtId="0" fontId="0" fillId="0" borderId="4" xfId="0" applyFont="1" applyBorder="1" applyAlignment="1"/>
    <xf numFmtId="0" fontId="0" fillId="0" borderId="0" xfId="0" pivotButton="1" applyFont="1" applyAlignment="1"/>
    <xf numFmtId="0" fontId="0" fillId="0" borderId="0" xfId="0" applyNumberFormat="1" applyFont="1" applyAlignment="1"/>
    <xf numFmtId="18" fontId="0" fillId="0" borderId="0" xfId="0" applyNumberFormat="1" applyFont="1" applyAlignment="1"/>
    <xf numFmtId="0" fontId="0" fillId="0" borderId="0" xfId="0" applyFont="1" applyAlignment="1">
      <alignment horizontal="left"/>
    </xf>
    <xf numFmtId="0" fontId="9" fillId="4" borderId="5" xfId="0" applyFont="1" applyFill="1" applyBorder="1" applyAlignment="1"/>
    <xf numFmtId="0" fontId="0" fillId="6" borderId="5" xfId="0" applyFont="1" applyFill="1" applyBorder="1" applyAlignment="1"/>
    <xf numFmtId="0" fontId="0" fillId="5" borderId="0" xfId="0" applyFont="1" applyFill="1" applyAlignment="1">
      <alignment horizontal="center"/>
    </xf>
    <xf numFmtId="0" fontId="9" fillId="7" borderId="5" xfId="0" applyFont="1" applyFill="1" applyBorder="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Analyzer.xlsx]zone wise sales!PivotTable5</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'zone wise sales'!$B$3:$B$4</c:f>
              <c:strCache>
                <c:ptCount val="1"/>
                <c:pt idx="0">
                  <c:v>Central</c:v>
                </c:pt>
              </c:strCache>
            </c:strRef>
          </c:tx>
          <c:spPr>
            <a:ln w="28575" cap="rnd">
              <a:solidFill>
                <a:schemeClr val="accent1"/>
              </a:solidFill>
              <a:round/>
            </a:ln>
            <a:effectLst/>
          </c:spPr>
          <c:marker>
            <c:symbol val="none"/>
          </c:marker>
          <c:cat>
            <c:strRef>
              <c:f>'zone wise sales'!$A$5:$A$10</c:f>
              <c:strCache>
                <c:ptCount val="5"/>
                <c:pt idx="0">
                  <c:v>Books</c:v>
                </c:pt>
                <c:pt idx="1">
                  <c:v>Clothing</c:v>
                </c:pt>
                <c:pt idx="2">
                  <c:v>Electronics</c:v>
                </c:pt>
                <c:pt idx="3">
                  <c:v>Furniture</c:v>
                </c:pt>
                <c:pt idx="4">
                  <c:v>Office Supplies</c:v>
                </c:pt>
              </c:strCache>
            </c:strRef>
          </c:cat>
          <c:val>
            <c:numRef>
              <c:f>'zone wise sales'!$B$5:$B$10</c:f>
              <c:numCache>
                <c:formatCode>General</c:formatCode>
                <c:ptCount val="5"/>
                <c:pt idx="0">
                  <c:v>11297.150000000001</c:v>
                </c:pt>
                <c:pt idx="1">
                  <c:v>12200.26</c:v>
                </c:pt>
                <c:pt idx="2">
                  <c:v>6621.24</c:v>
                </c:pt>
                <c:pt idx="3">
                  <c:v>4876.96</c:v>
                </c:pt>
                <c:pt idx="4">
                  <c:v>8472.7199999999993</c:v>
                </c:pt>
              </c:numCache>
            </c:numRef>
          </c:val>
          <c:smooth val="0"/>
          <c:extLst>
            <c:ext xmlns:c16="http://schemas.microsoft.com/office/drawing/2014/chart" uri="{C3380CC4-5D6E-409C-BE32-E72D297353CC}">
              <c16:uniqueId val="{00000000-BEF5-417D-B3BE-D20DB7712B65}"/>
            </c:ext>
          </c:extLst>
        </c:ser>
        <c:ser>
          <c:idx val="1"/>
          <c:order val="1"/>
          <c:tx>
            <c:strRef>
              <c:f>'zone wise sales'!$C$3:$C$4</c:f>
              <c:strCache>
                <c:ptCount val="1"/>
                <c:pt idx="0">
                  <c:v>East</c:v>
                </c:pt>
              </c:strCache>
            </c:strRef>
          </c:tx>
          <c:spPr>
            <a:ln w="28575" cap="rnd">
              <a:solidFill>
                <a:schemeClr val="accent2"/>
              </a:solidFill>
              <a:round/>
            </a:ln>
            <a:effectLst/>
          </c:spPr>
          <c:marker>
            <c:symbol val="none"/>
          </c:marker>
          <c:cat>
            <c:strRef>
              <c:f>'zone wise sales'!$A$5:$A$10</c:f>
              <c:strCache>
                <c:ptCount val="5"/>
                <c:pt idx="0">
                  <c:v>Books</c:v>
                </c:pt>
                <c:pt idx="1">
                  <c:v>Clothing</c:v>
                </c:pt>
                <c:pt idx="2">
                  <c:v>Electronics</c:v>
                </c:pt>
                <c:pt idx="3">
                  <c:v>Furniture</c:v>
                </c:pt>
                <c:pt idx="4">
                  <c:v>Office Supplies</c:v>
                </c:pt>
              </c:strCache>
            </c:strRef>
          </c:cat>
          <c:val>
            <c:numRef>
              <c:f>'zone wise sales'!$C$5:$C$10</c:f>
              <c:numCache>
                <c:formatCode>General</c:formatCode>
                <c:ptCount val="5"/>
                <c:pt idx="0">
                  <c:v>11389.090000000002</c:v>
                </c:pt>
                <c:pt idx="1">
                  <c:v>2401.4499999999998</c:v>
                </c:pt>
                <c:pt idx="2">
                  <c:v>2869.54</c:v>
                </c:pt>
                <c:pt idx="3">
                  <c:v>7592.3399999999992</c:v>
                </c:pt>
                <c:pt idx="4">
                  <c:v>8189.2200000000012</c:v>
                </c:pt>
              </c:numCache>
            </c:numRef>
          </c:val>
          <c:smooth val="0"/>
          <c:extLst>
            <c:ext xmlns:c16="http://schemas.microsoft.com/office/drawing/2014/chart" uri="{C3380CC4-5D6E-409C-BE32-E72D297353CC}">
              <c16:uniqueId val="{00000006-BEF5-417D-B3BE-D20DB7712B65}"/>
            </c:ext>
          </c:extLst>
        </c:ser>
        <c:ser>
          <c:idx val="2"/>
          <c:order val="2"/>
          <c:tx>
            <c:strRef>
              <c:f>'zone wise sales'!$D$3:$D$4</c:f>
              <c:strCache>
                <c:ptCount val="1"/>
                <c:pt idx="0">
                  <c:v>North</c:v>
                </c:pt>
              </c:strCache>
            </c:strRef>
          </c:tx>
          <c:spPr>
            <a:ln w="28575" cap="rnd">
              <a:solidFill>
                <a:schemeClr val="accent3"/>
              </a:solidFill>
              <a:round/>
            </a:ln>
            <a:effectLst/>
          </c:spPr>
          <c:marker>
            <c:symbol val="none"/>
          </c:marker>
          <c:cat>
            <c:strRef>
              <c:f>'zone wise sales'!$A$5:$A$10</c:f>
              <c:strCache>
                <c:ptCount val="5"/>
                <c:pt idx="0">
                  <c:v>Books</c:v>
                </c:pt>
                <c:pt idx="1">
                  <c:v>Clothing</c:v>
                </c:pt>
                <c:pt idx="2">
                  <c:v>Electronics</c:v>
                </c:pt>
                <c:pt idx="3">
                  <c:v>Furniture</c:v>
                </c:pt>
                <c:pt idx="4">
                  <c:v>Office Supplies</c:v>
                </c:pt>
              </c:strCache>
            </c:strRef>
          </c:cat>
          <c:val>
            <c:numRef>
              <c:f>'zone wise sales'!$D$5:$D$10</c:f>
              <c:numCache>
                <c:formatCode>General</c:formatCode>
                <c:ptCount val="5"/>
                <c:pt idx="0">
                  <c:v>8037.0100000000011</c:v>
                </c:pt>
                <c:pt idx="1">
                  <c:v>8422.82</c:v>
                </c:pt>
                <c:pt idx="2">
                  <c:v>8191.7099999999991</c:v>
                </c:pt>
                <c:pt idx="3">
                  <c:v>6978.08</c:v>
                </c:pt>
                <c:pt idx="4">
                  <c:v>3345.8</c:v>
                </c:pt>
              </c:numCache>
            </c:numRef>
          </c:val>
          <c:smooth val="0"/>
          <c:extLst>
            <c:ext xmlns:c16="http://schemas.microsoft.com/office/drawing/2014/chart" uri="{C3380CC4-5D6E-409C-BE32-E72D297353CC}">
              <c16:uniqueId val="{00000007-BEF5-417D-B3BE-D20DB7712B65}"/>
            </c:ext>
          </c:extLst>
        </c:ser>
        <c:ser>
          <c:idx val="3"/>
          <c:order val="3"/>
          <c:tx>
            <c:strRef>
              <c:f>'zone wise sales'!$E$3:$E$4</c:f>
              <c:strCache>
                <c:ptCount val="1"/>
                <c:pt idx="0">
                  <c:v>South</c:v>
                </c:pt>
              </c:strCache>
            </c:strRef>
          </c:tx>
          <c:spPr>
            <a:ln w="28575" cap="rnd">
              <a:solidFill>
                <a:schemeClr val="accent4"/>
              </a:solidFill>
              <a:round/>
            </a:ln>
            <a:effectLst/>
          </c:spPr>
          <c:marker>
            <c:symbol val="none"/>
          </c:marker>
          <c:cat>
            <c:strRef>
              <c:f>'zone wise sales'!$A$5:$A$10</c:f>
              <c:strCache>
                <c:ptCount val="5"/>
                <c:pt idx="0">
                  <c:v>Books</c:v>
                </c:pt>
                <c:pt idx="1">
                  <c:v>Clothing</c:v>
                </c:pt>
                <c:pt idx="2">
                  <c:v>Electronics</c:v>
                </c:pt>
                <c:pt idx="3">
                  <c:v>Furniture</c:v>
                </c:pt>
                <c:pt idx="4">
                  <c:v>Office Supplies</c:v>
                </c:pt>
              </c:strCache>
            </c:strRef>
          </c:cat>
          <c:val>
            <c:numRef>
              <c:f>'zone wise sales'!$E$5:$E$10</c:f>
              <c:numCache>
                <c:formatCode>General</c:formatCode>
                <c:ptCount val="5"/>
                <c:pt idx="0">
                  <c:v>9588.0400000000009</c:v>
                </c:pt>
                <c:pt idx="1">
                  <c:v>8393.630000000001</c:v>
                </c:pt>
                <c:pt idx="2">
                  <c:v>11989.070000000003</c:v>
                </c:pt>
                <c:pt idx="3">
                  <c:v>7982.73</c:v>
                </c:pt>
                <c:pt idx="4">
                  <c:v>2295.3199999999997</c:v>
                </c:pt>
              </c:numCache>
            </c:numRef>
          </c:val>
          <c:smooth val="0"/>
          <c:extLst>
            <c:ext xmlns:c16="http://schemas.microsoft.com/office/drawing/2014/chart" uri="{C3380CC4-5D6E-409C-BE32-E72D297353CC}">
              <c16:uniqueId val="{00000008-BEF5-417D-B3BE-D20DB7712B65}"/>
            </c:ext>
          </c:extLst>
        </c:ser>
        <c:ser>
          <c:idx val="4"/>
          <c:order val="4"/>
          <c:tx>
            <c:strRef>
              <c:f>'zone wise sales'!$F$3:$F$4</c:f>
              <c:strCache>
                <c:ptCount val="1"/>
                <c:pt idx="0">
                  <c:v>West</c:v>
                </c:pt>
              </c:strCache>
            </c:strRef>
          </c:tx>
          <c:spPr>
            <a:ln w="28575" cap="rnd">
              <a:solidFill>
                <a:schemeClr val="accent5"/>
              </a:solidFill>
              <a:round/>
            </a:ln>
            <a:effectLst/>
          </c:spPr>
          <c:marker>
            <c:symbol val="none"/>
          </c:marker>
          <c:cat>
            <c:strRef>
              <c:f>'zone wise sales'!$A$5:$A$10</c:f>
              <c:strCache>
                <c:ptCount val="5"/>
                <c:pt idx="0">
                  <c:v>Books</c:v>
                </c:pt>
                <c:pt idx="1">
                  <c:v>Clothing</c:v>
                </c:pt>
                <c:pt idx="2">
                  <c:v>Electronics</c:v>
                </c:pt>
                <c:pt idx="3">
                  <c:v>Furniture</c:v>
                </c:pt>
                <c:pt idx="4">
                  <c:v>Office Supplies</c:v>
                </c:pt>
              </c:strCache>
            </c:strRef>
          </c:cat>
          <c:val>
            <c:numRef>
              <c:f>'zone wise sales'!$F$5:$F$10</c:f>
              <c:numCache>
                <c:formatCode>General</c:formatCode>
                <c:ptCount val="5"/>
                <c:pt idx="0">
                  <c:v>6691.17</c:v>
                </c:pt>
                <c:pt idx="1">
                  <c:v>10509.429999999998</c:v>
                </c:pt>
                <c:pt idx="2">
                  <c:v>11372.44</c:v>
                </c:pt>
                <c:pt idx="3">
                  <c:v>9182.7800000000007</c:v>
                </c:pt>
                <c:pt idx="4">
                  <c:v>6327.76</c:v>
                </c:pt>
              </c:numCache>
            </c:numRef>
          </c:val>
          <c:smooth val="0"/>
          <c:extLst>
            <c:ext xmlns:c16="http://schemas.microsoft.com/office/drawing/2014/chart" uri="{C3380CC4-5D6E-409C-BE32-E72D297353CC}">
              <c16:uniqueId val="{00000009-BEF5-417D-B3BE-D20DB7712B65}"/>
            </c:ext>
          </c:extLst>
        </c:ser>
        <c:dLbls>
          <c:showLegendKey val="0"/>
          <c:showVal val="0"/>
          <c:showCatName val="0"/>
          <c:showSerName val="0"/>
          <c:showPercent val="0"/>
          <c:showBubbleSize val="0"/>
        </c:dLbls>
        <c:smooth val="0"/>
        <c:axId val="2084226031"/>
        <c:axId val="2084220751"/>
      </c:lineChart>
      <c:catAx>
        <c:axId val="208422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220751"/>
        <c:crosses val="autoZero"/>
        <c:auto val="1"/>
        <c:lblAlgn val="ctr"/>
        <c:lblOffset val="100"/>
        <c:noMultiLvlLbl val="0"/>
      </c:catAx>
      <c:valAx>
        <c:axId val="208422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22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Analyzer.xlsx]zone wise sales!PivotTable5</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'zone wise sales'!$B$3:$B$4</c:f>
              <c:strCache>
                <c:ptCount val="1"/>
                <c:pt idx="0">
                  <c:v>Central</c:v>
                </c:pt>
              </c:strCache>
            </c:strRef>
          </c:tx>
          <c:spPr>
            <a:solidFill>
              <a:schemeClr val="accent1"/>
            </a:solidFill>
            <a:ln>
              <a:noFill/>
            </a:ln>
            <a:effectLst/>
          </c:spPr>
          <c:invertIfNegative val="0"/>
          <c:cat>
            <c:strRef>
              <c:f>'zone wise sales'!$A$5:$A$10</c:f>
              <c:strCache>
                <c:ptCount val="5"/>
                <c:pt idx="0">
                  <c:v>Books</c:v>
                </c:pt>
                <c:pt idx="1">
                  <c:v>Clothing</c:v>
                </c:pt>
                <c:pt idx="2">
                  <c:v>Electronics</c:v>
                </c:pt>
                <c:pt idx="3">
                  <c:v>Furniture</c:v>
                </c:pt>
                <c:pt idx="4">
                  <c:v>Office Supplies</c:v>
                </c:pt>
              </c:strCache>
            </c:strRef>
          </c:cat>
          <c:val>
            <c:numRef>
              <c:f>'zone wise sales'!$B$5:$B$10</c:f>
              <c:numCache>
                <c:formatCode>General</c:formatCode>
                <c:ptCount val="5"/>
                <c:pt idx="0">
                  <c:v>11297.150000000001</c:v>
                </c:pt>
                <c:pt idx="1">
                  <c:v>12200.26</c:v>
                </c:pt>
                <c:pt idx="2">
                  <c:v>6621.24</c:v>
                </c:pt>
                <c:pt idx="3">
                  <c:v>4876.96</c:v>
                </c:pt>
                <c:pt idx="4">
                  <c:v>8472.7199999999993</c:v>
                </c:pt>
              </c:numCache>
            </c:numRef>
          </c:val>
          <c:extLst>
            <c:ext xmlns:c16="http://schemas.microsoft.com/office/drawing/2014/chart" uri="{C3380CC4-5D6E-409C-BE32-E72D297353CC}">
              <c16:uniqueId val="{00000000-EE3E-4E1D-9ED9-74A3F953CD16}"/>
            </c:ext>
          </c:extLst>
        </c:ser>
        <c:ser>
          <c:idx val="1"/>
          <c:order val="1"/>
          <c:tx>
            <c:strRef>
              <c:f>'zone wise sales'!$C$3:$C$4</c:f>
              <c:strCache>
                <c:ptCount val="1"/>
                <c:pt idx="0">
                  <c:v>East</c:v>
                </c:pt>
              </c:strCache>
            </c:strRef>
          </c:tx>
          <c:spPr>
            <a:solidFill>
              <a:schemeClr val="accent2"/>
            </a:solidFill>
            <a:ln>
              <a:noFill/>
            </a:ln>
            <a:effectLst/>
          </c:spPr>
          <c:invertIfNegative val="0"/>
          <c:cat>
            <c:strRef>
              <c:f>'zone wise sales'!$A$5:$A$10</c:f>
              <c:strCache>
                <c:ptCount val="5"/>
                <c:pt idx="0">
                  <c:v>Books</c:v>
                </c:pt>
                <c:pt idx="1">
                  <c:v>Clothing</c:v>
                </c:pt>
                <c:pt idx="2">
                  <c:v>Electronics</c:v>
                </c:pt>
                <c:pt idx="3">
                  <c:v>Furniture</c:v>
                </c:pt>
                <c:pt idx="4">
                  <c:v>Office Supplies</c:v>
                </c:pt>
              </c:strCache>
            </c:strRef>
          </c:cat>
          <c:val>
            <c:numRef>
              <c:f>'zone wise sales'!$C$5:$C$10</c:f>
              <c:numCache>
                <c:formatCode>General</c:formatCode>
                <c:ptCount val="5"/>
                <c:pt idx="0">
                  <c:v>11389.090000000002</c:v>
                </c:pt>
                <c:pt idx="1">
                  <c:v>2401.4499999999998</c:v>
                </c:pt>
                <c:pt idx="2">
                  <c:v>2869.54</c:v>
                </c:pt>
                <c:pt idx="3">
                  <c:v>7592.3399999999992</c:v>
                </c:pt>
                <c:pt idx="4">
                  <c:v>8189.2200000000012</c:v>
                </c:pt>
              </c:numCache>
            </c:numRef>
          </c:val>
          <c:extLst>
            <c:ext xmlns:c16="http://schemas.microsoft.com/office/drawing/2014/chart" uri="{C3380CC4-5D6E-409C-BE32-E72D297353CC}">
              <c16:uniqueId val="{00000006-EE3E-4E1D-9ED9-74A3F953CD16}"/>
            </c:ext>
          </c:extLst>
        </c:ser>
        <c:ser>
          <c:idx val="2"/>
          <c:order val="2"/>
          <c:tx>
            <c:strRef>
              <c:f>'zone wise sales'!$D$3:$D$4</c:f>
              <c:strCache>
                <c:ptCount val="1"/>
                <c:pt idx="0">
                  <c:v>North</c:v>
                </c:pt>
              </c:strCache>
            </c:strRef>
          </c:tx>
          <c:spPr>
            <a:solidFill>
              <a:schemeClr val="accent3"/>
            </a:solidFill>
            <a:ln>
              <a:noFill/>
            </a:ln>
            <a:effectLst/>
          </c:spPr>
          <c:invertIfNegative val="0"/>
          <c:cat>
            <c:strRef>
              <c:f>'zone wise sales'!$A$5:$A$10</c:f>
              <c:strCache>
                <c:ptCount val="5"/>
                <c:pt idx="0">
                  <c:v>Books</c:v>
                </c:pt>
                <c:pt idx="1">
                  <c:v>Clothing</c:v>
                </c:pt>
                <c:pt idx="2">
                  <c:v>Electronics</c:v>
                </c:pt>
                <c:pt idx="3">
                  <c:v>Furniture</c:v>
                </c:pt>
                <c:pt idx="4">
                  <c:v>Office Supplies</c:v>
                </c:pt>
              </c:strCache>
            </c:strRef>
          </c:cat>
          <c:val>
            <c:numRef>
              <c:f>'zone wise sales'!$D$5:$D$10</c:f>
              <c:numCache>
                <c:formatCode>General</c:formatCode>
                <c:ptCount val="5"/>
                <c:pt idx="0">
                  <c:v>8037.0100000000011</c:v>
                </c:pt>
                <c:pt idx="1">
                  <c:v>8422.82</c:v>
                </c:pt>
                <c:pt idx="2">
                  <c:v>8191.7099999999991</c:v>
                </c:pt>
                <c:pt idx="3">
                  <c:v>6978.08</c:v>
                </c:pt>
                <c:pt idx="4">
                  <c:v>3345.8</c:v>
                </c:pt>
              </c:numCache>
            </c:numRef>
          </c:val>
          <c:extLst>
            <c:ext xmlns:c16="http://schemas.microsoft.com/office/drawing/2014/chart" uri="{C3380CC4-5D6E-409C-BE32-E72D297353CC}">
              <c16:uniqueId val="{00000007-EE3E-4E1D-9ED9-74A3F953CD16}"/>
            </c:ext>
          </c:extLst>
        </c:ser>
        <c:ser>
          <c:idx val="3"/>
          <c:order val="3"/>
          <c:tx>
            <c:strRef>
              <c:f>'zone wise sales'!$E$3:$E$4</c:f>
              <c:strCache>
                <c:ptCount val="1"/>
                <c:pt idx="0">
                  <c:v>South</c:v>
                </c:pt>
              </c:strCache>
            </c:strRef>
          </c:tx>
          <c:spPr>
            <a:solidFill>
              <a:schemeClr val="accent4"/>
            </a:solidFill>
            <a:ln>
              <a:noFill/>
            </a:ln>
            <a:effectLst/>
          </c:spPr>
          <c:invertIfNegative val="0"/>
          <c:cat>
            <c:strRef>
              <c:f>'zone wise sales'!$A$5:$A$10</c:f>
              <c:strCache>
                <c:ptCount val="5"/>
                <c:pt idx="0">
                  <c:v>Books</c:v>
                </c:pt>
                <c:pt idx="1">
                  <c:v>Clothing</c:v>
                </c:pt>
                <c:pt idx="2">
                  <c:v>Electronics</c:v>
                </c:pt>
                <c:pt idx="3">
                  <c:v>Furniture</c:v>
                </c:pt>
                <c:pt idx="4">
                  <c:v>Office Supplies</c:v>
                </c:pt>
              </c:strCache>
            </c:strRef>
          </c:cat>
          <c:val>
            <c:numRef>
              <c:f>'zone wise sales'!$E$5:$E$10</c:f>
              <c:numCache>
                <c:formatCode>General</c:formatCode>
                <c:ptCount val="5"/>
                <c:pt idx="0">
                  <c:v>9588.0400000000009</c:v>
                </c:pt>
                <c:pt idx="1">
                  <c:v>8393.630000000001</c:v>
                </c:pt>
                <c:pt idx="2">
                  <c:v>11989.070000000003</c:v>
                </c:pt>
                <c:pt idx="3">
                  <c:v>7982.73</c:v>
                </c:pt>
                <c:pt idx="4">
                  <c:v>2295.3199999999997</c:v>
                </c:pt>
              </c:numCache>
            </c:numRef>
          </c:val>
          <c:extLst>
            <c:ext xmlns:c16="http://schemas.microsoft.com/office/drawing/2014/chart" uri="{C3380CC4-5D6E-409C-BE32-E72D297353CC}">
              <c16:uniqueId val="{00000008-EE3E-4E1D-9ED9-74A3F953CD16}"/>
            </c:ext>
          </c:extLst>
        </c:ser>
        <c:ser>
          <c:idx val="4"/>
          <c:order val="4"/>
          <c:tx>
            <c:strRef>
              <c:f>'zone wise sales'!$F$3:$F$4</c:f>
              <c:strCache>
                <c:ptCount val="1"/>
                <c:pt idx="0">
                  <c:v>West</c:v>
                </c:pt>
              </c:strCache>
            </c:strRef>
          </c:tx>
          <c:spPr>
            <a:solidFill>
              <a:schemeClr val="accent5"/>
            </a:solidFill>
            <a:ln>
              <a:noFill/>
            </a:ln>
            <a:effectLst/>
          </c:spPr>
          <c:invertIfNegative val="0"/>
          <c:cat>
            <c:strRef>
              <c:f>'zone wise sales'!$A$5:$A$10</c:f>
              <c:strCache>
                <c:ptCount val="5"/>
                <c:pt idx="0">
                  <c:v>Books</c:v>
                </c:pt>
                <c:pt idx="1">
                  <c:v>Clothing</c:v>
                </c:pt>
                <c:pt idx="2">
                  <c:v>Electronics</c:v>
                </c:pt>
                <c:pt idx="3">
                  <c:v>Furniture</c:v>
                </c:pt>
                <c:pt idx="4">
                  <c:v>Office Supplies</c:v>
                </c:pt>
              </c:strCache>
            </c:strRef>
          </c:cat>
          <c:val>
            <c:numRef>
              <c:f>'zone wise sales'!$F$5:$F$10</c:f>
              <c:numCache>
                <c:formatCode>General</c:formatCode>
                <c:ptCount val="5"/>
                <c:pt idx="0">
                  <c:v>6691.17</c:v>
                </c:pt>
                <c:pt idx="1">
                  <c:v>10509.429999999998</c:v>
                </c:pt>
                <c:pt idx="2">
                  <c:v>11372.44</c:v>
                </c:pt>
                <c:pt idx="3">
                  <c:v>9182.7800000000007</c:v>
                </c:pt>
                <c:pt idx="4">
                  <c:v>6327.76</c:v>
                </c:pt>
              </c:numCache>
            </c:numRef>
          </c:val>
          <c:extLst>
            <c:ext xmlns:c16="http://schemas.microsoft.com/office/drawing/2014/chart" uri="{C3380CC4-5D6E-409C-BE32-E72D297353CC}">
              <c16:uniqueId val="{00000009-EE3E-4E1D-9ED9-74A3F953CD16}"/>
            </c:ext>
          </c:extLst>
        </c:ser>
        <c:dLbls>
          <c:showLegendKey val="0"/>
          <c:showVal val="0"/>
          <c:showCatName val="0"/>
          <c:showSerName val="0"/>
          <c:showPercent val="0"/>
          <c:showBubbleSize val="0"/>
        </c:dLbls>
        <c:gapWidth val="219"/>
        <c:overlap val="-27"/>
        <c:axId val="2032649103"/>
        <c:axId val="2032651023"/>
      </c:barChart>
      <c:catAx>
        <c:axId val="203264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651023"/>
        <c:crosses val="autoZero"/>
        <c:auto val="1"/>
        <c:lblAlgn val="ctr"/>
        <c:lblOffset val="100"/>
        <c:noMultiLvlLbl val="0"/>
      </c:catAx>
      <c:valAx>
        <c:axId val="203265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64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Analyzer.xlsx]zone wise sales!PivotTable5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'zone wise sales'!$B$3:$B$4</c:f>
              <c:strCache>
                <c:ptCount val="1"/>
                <c:pt idx="0">
                  <c:v>Central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AB-412D-BCDC-F385D53630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AB-412D-BCDC-F385D53630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AB-412D-BCDC-F385D53630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AB-412D-BCDC-F385D53630E1}"/>
              </c:ext>
            </c:extLst>
          </c:dPt>
          <c:dPt>
            <c:idx val="4"/>
            <c:bubble3D val="0"/>
            <c:spPr>
              <a:solidFill>
                <a:schemeClr val="accent5"/>
              </a:solidFill>
              <a:ln w="19050">
                <a:solidFill>
                  <a:schemeClr val="lt1"/>
                </a:solidFill>
              </a:ln>
              <a:effectLst/>
            </c:spPr>
          </c:dPt>
          <c:cat>
            <c:strRef>
              <c:f>'zone wise sales'!$A$5:$A$10</c:f>
              <c:strCache>
                <c:ptCount val="5"/>
                <c:pt idx="0">
                  <c:v>Books</c:v>
                </c:pt>
                <c:pt idx="1">
                  <c:v>Clothing</c:v>
                </c:pt>
                <c:pt idx="2">
                  <c:v>Electronics</c:v>
                </c:pt>
                <c:pt idx="3">
                  <c:v>Furniture</c:v>
                </c:pt>
                <c:pt idx="4">
                  <c:v>Office Supplies</c:v>
                </c:pt>
              </c:strCache>
            </c:strRef>
          </c:cat>
          <c:val>
            <c:numRef>
              <c:f>'zone wise sales'!$B$5:$B$10</c:f>
              <c:numCache>
                <c:formatCode>General</c:formatCode>
                <c:ptCount val="5"/>
                <c:pt idx="0">
                  <c:v>11297.150000000001</c:v>
                </c:pt>
                <c:pt idx="1">
                  <c:v>12200.26</c:v>
                </c:pt>
                <c:pt idx="2">
                  <c:v>6621.24</c:v>
                </c:pt>
                <c:pt idx="3">
                  <c:v>4876.96</c:v>
                </c:pt>
                <c:pt idx="4">
                  <c:v>8472.7199999999993</c:v>
                </c:pt>
              </c:numCache>
            </c:numRef>
          </c:val>
          <c:extLst>
            <c:ext xmlns:c16="http://schemas.microsoft.com/office/drawing/2014/chart" uri="{C3380CC4-5D6E-409C-BE32-E72D297353CC}">
              <c16:uniqueId val="{00000008-D1AB-412D-BCDC-F385D53630E1}"/>
            </c:ext>
          </c:extLst>
        </c:ser>
        <c:ser>
          <c:idx val="1"/>
          <c:order val="1"/>
          <c:tx>
            <c:strRef>
              <c:f>'zone wise sales'!$C$3:$C$4</c:f>
              <c:strCache>
                <c:ptCount val="1"/>
                <c:pt idx="0">
                  <c:v>East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'zone wise sales'!$A$5:$A$10</c:f>
              <c:strCache>
                <c:ptCount val="5"/>
                <c:pt idx="0">
                  <c:v>Books</c:v>
                </c:pt>
                <c:pt idx="1">
                  <c:v>Clothing</c:v>
                </c:pt>
                <c:pt idx="2">
                  <c:v>Electronics</c:v>
                </c:pt>
                <c:pt idx="3">
                  <c:v>Furniture</c:v>
                </c:pt>
                <c:pt idx="4">
                  <c:v>Office Supplies</c:v>
                </c:pt>
              </c:strCache>
            </c:strRef>
          </c:cat>
          <c:val>
            <c:numRef>
              <c:f>'zone wise sales'!$C$5:$C$10</c:f>
              <c:numCache>
                <c:formatCode>General</c:formatCode>
                <c:ptCount val="5"/>
                <c:pt idx="0">
                  <c:v>11389.090000000002</c:v>
                </c:pt>
                <c:pt idx="1">
                  <c:v>2401.4499999999998</c:v>
                </c:pt>
                <c:pt idx="2">
                  <c:v>2869.54</c:v>
                </c:pt>
                <c:pt idx="3">
                  <c:v>7592.3399999999992</c:v>
                </c:pt>
                <c:pt idx="4">
                  <c:v>8189.2200000000012</c:v>
                </c:pt>
              </c:numCache>
            </c:numRef>
          </c:val>
          <c:extLst>
            <c:ext xmlns:c16="http://schemas.microsoft.com/office/drawing/2014/chart" uri="{C3380CC4-5D6E-409C-BE32-E72D297353CC}">
              <c16:uniqueId val="{0000002E-D1AB-412D-BCDC-F385D53630E1}"/>
            </c:ext>
          </c:extLst>
        </c:ser>
        <c:ser>
          <c:idx val="2"/>
          <c:order val="2"/>
          <c:tx>
            <c:strRef>
              <c:f>'zone wise sales'!$D$3:$D$4</c:f>
              <c:strCache>
                <c:ptCount val="1"/>
                <c:pt idx="0">
                  <c:v>North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'zone wise sales'!$A$5:$A$10</c:f>
              <c:strCache>
                <c:ptCount val="5"/>
                <c:pt idx="0">
                  <c:v>Books</c:v>
                </c:pt>
                <c:pt idx="1">
                  <c:v>Clothing</c:v>
                </c:pt>
                <c:pt idx="2">
                  <c:v>Electronics</c:v>
                </c:pt>
                <c:pt idx="3">
                  <c:v>Furniture</c:v>
                </c:pt>
                <c:pt idx="4">
                  <c:v>Office Supplies</c:v>
                </c:pt>
              </c:strCache>
            </c:strRef>
          </c:cat>
          <c:val>
            <c:numRef>
              <c:f>'zone wise sales'!$D$5:$D$10</c:f>
              <c:numCache>
                <c:formatCode>General</c:formatCode>
                <c:ptCount val="5"/>
                <c:pt idx="0">
                  <c:v>8037.0100000000011</c:v>
                </c:pt>
                <c:pt idx="1">
                  <c:v>8422.82</c:v>
                </c:pt>
                <c:pt idx="2">
                  <c:v>8191.7099999999991</c:v>
                </c:pt>
                <c:pt idx="3">
                  <c:v>6978.08</c:v>
                </c:pt>
                <c:pt idx="4">
                  <c:v>3345.8</c:v>
                </c:pt>
              </c:numCache>
            </c:numRef>
          </c:val>
          <c:extLst>
            <c:ext xmlns:c16="http://schemas.microsoft.com/office/drawing/2014/chart" uri="{C3380CC4-5D6E-409C-BE32-E72D297353CC}">
              <c16:uniqueId val="{0000002F-D1AB-412D-BCDC-F385D53630E1}"/>
            </c:ext>
          </c:extLst>
        </c:ser>
        <c:ser>
          <c:idx val="3"/>
          <c:order val="3"/>
          <c:tx>
            <c:strRef>
              <c:f>'zone wise sales'!$E$3:$E$4</c:f>
              <c:strCache>
                <c:ptCount val="1"/>
                <c:pt idx="0">
                  <c:v>South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'zone wise sales'!$A$5:$A$10</c:f>
              <c:strCache>
                <c:ptCount val="5"/>
                <c:pt idx="0">
                  <c:v>Books</c:v>
                </c:pt>
                <c:pt idx="1">
                  <c:v>Clothing</c:v>
                </c:pt>
                <c:pt idx="2">
                  <c:v>Electronics</c:v>
                </c:pt>
                <c:pt idx="3">
                  <c:v>Furniture</c:v>
                </c:pt>
                <c:pt idx="4">
                  <c:v>Office Supplies</c:v>
                </c:pt>
              </c:strCache>
            </c:strRef>
          </c:cat>
          <c:val>
            <c:numRef>
              <c:f>'zone wise sales'!$E$5:$E$10</c:f>
              <c:numCache>
                <c:formatCode>General</c:formatCode>
                <c:ptCount val="5"/>
                <c:pt idx="0">
                  <c:v>9588.0400000000009</c:v>
                </c:pt>
                <c:pt idx="1">
                  <c:v>8393.630000000001</c:v>
                </c:pt>
                <c:pt idx="2">
                  <c:v>11989.070000000003</c:v>
                </c:pt>
                <c:pt idx="3">
                  <c:v>7982.73</c:v>
                </c:pt>
                <c:pt idx="4">
                  <c:v>2295.3199999999997</c:v>
                </c:pt>
              </c:numCache>
            </c:numRef>
          </c:val>
          <c:extLst>
            <c:ext xmlns:c16="http://schemas.microsoft.com/office/drawing/2014/chart" uri="{C3380CC4-5D6E-409C-BE32-E72D297353CC}">
              <c16:uniqueId val="{00000030-D1AB-412D-BCDC-F385D53630E1}"/>
            </c:ext>
          </c:extLst>
        </c:ser>
        <c:ser>
          <c:idx val="4"/>
          <c:order val="4"/>
          <c:tx>
            <c:strRef>
              <c:f>'zone wise sales'!$F$3:$F$4</c:f>
              <c:strCache>
                <c:ptCount val="1"/>
                <c:pt idx="0">
                  <c:v>West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'zone wise sales'!$A$5:$A$10</c:f>
              <c:strCache>
                <c:ptCount val="5"/>
                <c:pt idx="0">
                  <c:v>Books</c:v>
                </c:pt>
                <c:pt idx="1">
                  <c:v>Clothing</c:v>
                </c:pt>
                <c:pt idx="2">
                  <c:v>Electronics</c:v>
                </c:pt>
                <c:pt idx="3">
                  <c:v>Furniture</c:v>
                </c:pt>
                <c:pt idx="4">
                  <c:v>Office Supplies</c:v>
                </c:pt>
              </c:strCache>
            </c:strRef>
          </c:cat>
          <c:val>
            <c:numRef>
              <c:f>'zone wise sales'!$F$5:$F$10</c:f>
              <c:numCache>
                <c:formatCode>General</c:formatCode>
                <c:ptCount val="5"/>
                <c:pt idx="0">
                  <c:v>6691.17</c:v>
                </c:pt>
                <c:pt idx="1">
                  <c:v>10509.429999999998</c:v>
                </c:pt>
                <c:pt idx="2">
                  <c:v>11372.44</c:v>
                </c:pt>
                <c:pt idx="3">
                  <c:v>9182.7800000000007</c:v>
                </c:pt>
                <c:pt idx="4">
                  <c:v>6327.76</c:v>
                </c:pt>
              </c:numCache>
            </c:numRef>
          </c:val>
          <c:extLst>
            <c:ext xmlns:c16="http://schemas.microsoft.com/office/drawing/2014/chart" uri="{C3380CC4-5D6E-409C-BE32-E72D297353CC}">
              <c16:uniqueId val="{00000031-D1AB-412D-BCDC-F385D53630E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342900</xdr:colOff>
      <xdr:row>0</xdr:row>
      <xdr:rowOff>104775</xdr:rowOff>
    </xdr:from>
    <xdr:to>
      <xdr:col>22</xdr:col>
      <xdr:colOff>495300</xdr:colOff>
      <xdr:row>3</xdr:row>
      <xdr:rowOff>57150</xdr:rowOff>
    </xdr:to>
    <xdr:sp macro="" textlink="">
      <xdr:nvSpPr>
        <xdr:cNvPr id="10" name="Rectangle: Rounded Corners 9">
          <a:extLst>
            <a:ext uri="{FF2B5EF4-FFF2-40B4-BE49-F238E27FC236}">
              <a16:creationId xmlns:a16="http://schemas.microsoft.com/office/drawing/2014/main" id="{17D0720D-FBCE-0A5C-621D-3218AF3CE61E}"/>
            </a:ext>
          </a:extLst>
        </xdr:cNvPr>
        <xdr:cNvSpPr/>
      </xdr:nvSpPr>
      <xdr:spPr>
        <a:xfrm>
          <a:off x="1562100" y="104775"/>
          <a:ext cx="12344400" cy="523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latin typeface="Arial Rounded MT Bold" panose="020F0704030504030204" pitchFamily="34" charset="0"/>
            </a:rPr>
            <a:t>DMART</a:t>
          </a:r>
          <a:r>
            <a:rPr lang="en-IN" sz="4000" baseline="0">
              <a:latin typeface="Arial Rounded MT Bold" panose="020F0704030504030204" pitchFamily="34" charset="0"/>
            </a:rPr>
            <a:t> DEPART MENTAL STORRE         </a:t>
          </a:r>
          <a:endParaRPr lang="en-IN" sz="4000">
            <a:latin typeface="Arial Rounded MT Bold" panose="020F0704030504030204" pitchFamily="34" charset="0"/>
          </a:endParaRPr>
        </a:p>
      </xdr:txBody>
    </xdr:sp>
    <xdr:clientData/>
  </xdr:twoCellAnchor>
  <xdr:twoCellAnchor>
    <xdr:from>
      <xdr:col>0</xdr:col>
      <xdr:colOff>133350</xdr:colOff>
      <xdr:row>18</xdr:row>
      <xdr:rowOff>76200</xdr:rowOff>
    </xdr:from>
    <xdr:to>
      <xdr:col>7</xdr:col>
      <xdr:colOff>171450</xdr:colOff>
      <xdr:row>32</xdr:row>
      <xdr:rowOff>152400</xdr:rowOff>
    </xdr:to>
    <xdr:graphicFrame macro="">
      <xdr:nvGraphicFramePr>
        <xdr:cNvPr id="2" name="Chart 1">
          <a:extLst>
            <a:ext uri="{FF2B5EF4-FFF2-40B4-BE49-F238E27FC236}">
              <a16:creationId xmlns:a16="http://schemas.microsoft.com/office/drawing/2014/main" id="{26B939D9-FE8E-4BD3-B47F-D61E1DEEF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419100</xdr:colOff>
      <xdr:row>18</xdr:row>
      <xdr:rowOff>66675</xdr:rowOff>
    </xdr:from>
    <xdr:to>
      <xdr:col>17</xdr:col>
      <xdr:colOff>57150</xdr:colOff>
      <xdr:row>32</xdr:row>
      <xdr:rowOff>142875</xdr:rowOff>
    </xdr:to>
    <xdr:graphicFrame macro="">
      <xdr:nvGraphicFramePr>
        <xdr:cNvPr id="3" name="Chart 2">
          <a:extLst>
            <a:ext uri="{FF2B5EF4-FFF2-40B4-BE49-F238E27FC236}">
              <a16:creationId xmlns:a16="http://schemas.microsoft.com/office/drawing/2014/main" id="{D8BD1CE2-222E-4019-83E6-1B3184FEE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600075</xdr:colOff>
      <xdr:row>3</xdr:row>
      <xdr:rowOff>123825</xdr:rowOff>
    </xdr:from>
    <xdr:to>
      <xdr:col>17</xdr:col>
      <xdr:colOff>76200</xdr:colOff>
      <xdr:row>18</xdr:row>
      <xdr:rowOff>9525</xdr:rowOff>
    </xdr:to>
    <xdr:graphicFrame macro="">
      <xdr:nvGraphicFramePr>
        <xdr:cNvPr id="4" name="Chart 3">
          <a:extLst>
            <a:ext uri="{FF2B5EF4-FFF2-40B4-BE49-F238E27FC236}">
              <a16:creationId xmlns:a16="http://schemas.microsoft.com/office/drawing/2014/main" id="{380C274F-23F9-4984-96C7-34E4AF498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228600</xdr:colOff>
      <xdr:row>5</xdr:row>
      <xdr:rowOff>19050</xdr:rowOff>
    </xdr:from>
    <xdr:to>
      <xdr:col>6</xdr:col>
      <xdr:colOff>228600</xdr:colOff>
      <xdr:row>18</xdr:row>
      <xdr:rowOff>66675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4A08232E-C363-4FB2-864A-FF9B2E6DB7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57400" y="971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323850</xdr:colOff>
      <xdr:row>5</xdr:row>
      <xdr:rowOff>9525</xdr:rowOff>
    </xdr:from>
    <xdr:to>
      <xdr:col>9</xdr:col>
      <xdr:colOff>323850</xdr:colOff>
      <xdr:row>18</xdr:row>
      <xdr:rowOff>57150</xdr:rowOff>
    </xdr:to>
    <mc:AlternateContent xmlns:mc="http://schemas.openxmlformats.org/markup-compatibility/2006">
      <mc:Choice xmlns:a14="http://schemas.microsoft.com/office/drawing/2010/main" Requires="a14">
        <xdr:graphicFrame macro="">
          <xdr:nvGraphicFramePr>
            <xdr:cNvPr id="6" name="Product_Category">
              <a:extLst>
                <a:ext uri="{FF2B5EF4-FFF2-40B4-BE49-F238E27FC236}">
                  <a16:creationId xmlns:a16="http://schemas.microsoft.com/office/drawing/2014/main" id="{34690B95-5A5D-4FF5-A341-355461C2211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3981450" y="962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5</xdr:row>
      <xdr:rowOff>19050</xdr:rowOff>
    </xdr:from>
    <xdr:to>
      <xdr:col>3</xdr:col>
      <xdr:colOff>152400</xdr:colOff>
      <xdr:row>18</xdr:row>
      <xdr:rowOff>66675</xdr:rowOff>
    </xdr:to>
    <mc:AlternateContent xmlns:mc="http://schemas.openxmlformats.org/markup-compatibility/2006">
      <mc:Choice xmlns:a14="http://schemas.microsoft.com/office/drawing/2010/main" Requires="a14">
        <xdr:graphicFrame macro="">
          <xdr:nvGraphicFramePr>
            <xdr:cNvPr id="7" name="Years (Order_Date)">
              <a:extLst>
                <a:ext uri="{FF2B5EF4-FFF2-40B4-BE49-F238E27FC236}">
                  <a16:creationId xmlns:a16="http://schemas.microsoft.com/office/drawing/2014/main" id="{AA10B5AA-8AA9-41BC-9A61-B0364ECBED16}"/>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152400" y="971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142875</xdr:colOff>
      <xdr:row>4</xdr:row>
      <xdr:rowOff>152400</xdr:rowOff>
    </xdr:from>
    <xdr:to>
      <xdr:col>20</xdr:col>
      <xdr:colOff>142875</xdr:colOff>
      <xdr:row>18</xdr:row>
      <xdr:rowOff>9525</xdr:rowOff>
    </xdr:to>
    <mc:AlternateContent xmlns:mc="http://schemas.openxmlformats.org/markup-compatibility/2006">
      <mc:Choice xmlns:a14="http://schemas.microsoft.com/office/drawing/2010/main" Requires="a14">
        <xdr:graphicFrame macro="">
          <xdr:nvGraphicFramePr>
            <xdr:cNvPr id="8" name="Months (Order_Date)">
              <a:extLst>
                <a:ext uri="{FF2B5EF4-FFF2-40B4-BE49-F238E27FC236}">
                  <a16:creationId xmlns:a16="http://schemas.microsoft.com/office/drawing/2014/main" id="{B762EB9D-E35A-4292-9874-B58F1CDA4841}"/>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10506075" y="914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8.441364930557" createdVersion="8" refreshedVersion="8" minRefreshableVersion="3" recordCount="148" xr:uid="{71C1866F-5C45-4BD7-BCBE-6A06D559FF59}">
  <cacheSource type="worksheet">
    <worksheetSource ref="C3:D151" sheet="whai if and arrow"/>
  </cacheSource>
  <cacheFields count="2">
    <cacheField name="months " numFmtId="0">
      <sharedItems containsSemiMixedTypes="0" containsString="0" containsNumber="1" containsInteger="1" minValue="1" maxValue="12" count="12">
        <n v="4"/>
        <n v="5"/>
        <n v="6"/>
        <n v="7"/>
        <n v="8"/>
        <n v="9"/>
        <n v="10"/>
        <n v="11"/>
        <n v="12"/>
        <n v="1"/>
        <n v="2"/>
        <n v="3"/>
      </sharedItems>
    </cacheField>
    <cacheField name="sales" numFmtId="0">
      <sharedItems containsSemiMixedTypes="0" containsString="0" containsNumber="1" minValue="379.77" maxValue="368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8.506859837966" createdVersion="8" refreshedVersion="8" minRefreshableVersion="3" recordCount="200" xr:uid="{5BD374E0-D9F0-4D5F-AC74-F52D39F42471}">
  <cacheSource type="worksheet">
    <worksheetSource ref="A1:I201" sheet="Dataset"/>
  </cacheSource>
  <cacheFields count="12">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679996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x v="0"/>
    <n v="1036.0899999999999"/>
  </r>
  <r>
    <x v="0"/>
    <n v="1101.28"/>
  </r>
  <r>
    <x v="0"/>
    <n v="1474.27"/>
  </r>
  <r>
    <x v="0"/>
    <n v="847"/>
  </r>
  <r>
    <x v="0"/>
    <n v="2283.17"/>
  </r>
  <r>
    <x v="0"/>
    <n v="2313.3199999999997"/>
  </r>
  <r>
    <x v="0"/>
    <n v="1572.82"/>
  </r>
  <r>
    <x v="0"/>
    <n v="1343.13"/>
  </r>
  <r>
    <x v="0"/>
    <n v="2013.86"/>
  </r>
  <r>
    <x v="0"/>
    <n v="521.66999999999996"/>
  </r>
  <r>
    <x v="0"/>
    <n v="1502.93"/>
  </r>
  <r>
    <x v="0"/>
    <n v="1514.2800000000002"/>
  </r>
  <r>
    <x v="0"/>
    <n v="1506.14"/>
  </r>
  <r>
    <x v="1"/>
    <n v="645.02"/>
  </r>
  <r>
    <x v="1"/>
    <n v="953.3"/>
  </r>
  <r>
    <x v="1"/>
    <n v="1838.1"/>
  </r>
  <r>
    <x v="1"/>
    <n v="2098.4299999999998"/>
  </r>
  <r>
    <x v="1"/>
    <n v="675.54"/>
  </r>
  <r>
    <x v="1"/>
    <n v="939.09"/>
  </r>
  <r>
    <x v="1"/>
    <n v="1784.5500000000002"/>
  </r>
  <r>
    <x v="1"/>
    <n v="1450.71"/>
  </r>
  <r>
    <x v="1"/>
    <n v="1876.93"/>
  </r>
  <r>
    <x v="1"/>
    <n v="3482.09"/>
  </r>
  <r>
    <x v="1"/>
    <n v="2183.15"/>
  </r>
  <r>
    <x v="1"/>
    <n v="580.42999999999995"/>
  </r>
  <r>
    <x v="2"/>
    <n v="1151.21"/>
  </r>
  <r>
    <x v="2"/>
    <n v="1582.4"/>
  </r>
  <r>
    <x v="2"/>
    <n v="2068.1"/>
  </r>
  <r>
    <x v="2"/>
    <n v="2082.12"/>
  </r>
  <r>
    <x v="2"/>
    <n v="1001.57"/>
  </r>
  <r>
    <x v="2"/>
    <n v="1186.8499999999999"/>
  </r>
  <r>
    <x v="2"/>
    <n v="775.45"/>
  </r>
  <r>
    <x v="2"/>
    <n v="1021.47"/>
  </r>
  <r>
    <x v="2"/>
    <n v="1226.6199999999999"/>
  </r>
  <r>
    <x v="2"/>
    <n v="1086.93"/>
  </r>
  <r>
    <x v="2"/>
    <n v="942.9"/>
  </r>
  <r>
    <x v="2"/>
    <n v="1737.84"/>
  </r>
  <r>
    <x v="2"/>
    <n v="973.26"/>
  </r>
  <r>
    <x v="2"/>
    <n v="741.61"/>
  </r>
  <r>
    <x v="2"/>
    <n v="2609.1799999999998"/>
  </r>
  <r>
    <x v="3"/>
    <n v="1383.3"/>
  </r>
  <r>
    <x v="3"/>
    <n v="488.99"/>
  </r>
  <r>
    <x v="3"/>
    <n v="1939.24"/>
  </r>
  <r>
    <x v="3"/>
    <n v="1100.0999999999999"/>
  </r>
  <r>
    <x v="3"/>
    <n v="1034.7"/>
  </r>
  <r>
    <x v="3"/>
    <n v="2247.7799999999997"/>
  </r>
  <r>
    <x v="3"/>
    <n v="1020.26"/>
  </r>
  <r>
    <x v="3"/>
    <n v="804.81"/>
  </r>
  <r>
    <x v="3"/>
    <n v="608.66"/>
  </r>
  <r>
    <x v="3"/>
    <n v="981.2"/>
  </r>
  <r>
    <x v="4"/>
    <n v="1344.22"/>
  </r>
  <r>
    <x v="4"/>
    <n v="1526.6"/>
  </r>
  <r>
    <x v="4"/>
    <n v="1215.26"/>
  </r>
  <r>
    <x v="4"/>
    <n v="1261.3399999999999"/>
  </r>
  <r>
    <x v="4"/>
    <n v="518.07000000000005"/>
  </r>
  <r>
    <x v="4"/>
    <n v="1111.3399999999999"/>
  </r>
  <r>
    <x v="4"/>
    <n v="1291.47"/>
  </r>
  <r>
    <x v="4"/>
    <n v="1823.4"/>
  </r>
  <r>
    <x v="5"/>
    <n v="1860.7600000000002"/>
  </r>
  <r>
    <x v="5"/>
    <n v="2504.7600000000002"/>
  </r>
  <r>
    <x v="5"/>
    <n v="873.7"/>
  </r>
  <r>
    <x v="5"/>
    <n v="1443.98"/>
  </r>
  <r>
    <x v="5"/>
    <n v="2418.8199999999997"/>
  </r>
  <r>
    <x v="5"/>
    <n v="1101.55"/>
  </r>
  <r>
    <x v="5"/>
    <n v="1603.1399999999999"/>
  </r>
  <r>
    <x v="5"/>
    <n v="1158.94"/>
  </r>
  <r>
    <x v="5"/>
    <n v="966.3"/>
  </r>
  <r>
    <x v="5"/>
    <n v="917.48"/>
  </r>
  <r>
    <x v="5"/>
    <n v="2378.79"/>
  </r>
  <r>
    <x v="5"/>
    <n v="1729.12"/>
  </r>
  <r>
    <x v="5"/>
    <n v="1576.16"/>
  </r>
  <r>
    <x v="6"/>
    <n v="1014.09"/>
  </r>
  <r>
    <x v="6"/>
    <n v="925.29"/>
  </r>
  <r>
    <x v="6"/>
    <n v="1286.54"/>
  </r>
  <r>
    <x v="6"/>
    <n v="2042.7600000000002"/>
  </r>
  <r>
    <x v="6"/>
    <n v="1923.66"/>
  </r>
  <r>
    <x v="6"/>
    <n v="2030.6000000000001"/>
  </r>
  <r>
    <x v="6"/>
    <n v="980.18"/>
  </r>
  <r>
    <x v="6"/>
    <n v="1891.1799999999998"/>
  </r>
  <r>
    <x v="6"/>
    <n v="771.02"/>
  </r>
  <r>
    <x v="6"/>
    <n v="661.09"/>
  </r>
  <r>
    <x v="6"/>
    <n v="688.83"/>
  </r>
  <r>
    <x v="7"/>
    <n v="1249.0999999999999"/>
  </r>
  <r>
    <x v="7"/>
    <n v="1014.22"/>
  </r>
  <r>
    <x v="7"/>
    <n v="1967.87"/>
  </r>
  <r>
    <x v="7"/>
    <n v="1077.92"/>
  </r>
  <r>
    <x v="7"/>
    <n v="1163.01"/>
  </r>
  <r>
    <x v="7"/>
    <n v="1014.56"/>
  </r>
  <r>
    <x v="7"/>
    <n v="2702.62"/>
  </r>
  <r>
    <x v="7"/>
    <n v="3680.1"/>
  </r>
  <r>
    <x v="7"/>
    <n v="1471.99"/>
  </r>
  <r>
    <x v="7"/>
    <n v="2004.1399999999999"/>
  </r>
  <r>
    <x v="7"/>
    <n v="1061.04"/>
  </r>
  <r>
    <x v="7"/>
    <n v="894.55"/>
  </r>
  <r>
    <x v="7"/>
    <n v="833.91"/>
  </r>
  <r>
    <x v="8"/>
    <n v="820.19"/>
  </r>
  <r>
    <x v="8"/>
    <n v="511.74"/>
  </r>
  <r>
    <x v="8"/>
    <n v="806.03"/>
  </r>
  <r>
    <x v="8"/>
    <n v="2921.05"/>
  </r>
  <r>
    <x v="8"/>
    <n v="1231.26"/>
  </r>
  <r>
    <x v="8"/>
    <n v="1161.67"/>
  </r>
  <r>
    <x v="8"/>
    <n v="388.23"/>
  </r>
  <r>
    <x v="8"/>
    <n v="1926.0800000000002"/>
  </r>
  <r>
    <x v="8"/>
    <n v="1353.79"/>
  </r>
  <r>
    <x v="9"/>
    <n v="972.03"/>
  </r>
  <r>
    <x v="9"/>
    <n v="884.63"/>
  </r>
  <r>
    <x v="9"/>
    <n v="1615.28"/>
  </r>
  <r>
    <x v="9"/>
    <n v="862.19"/>
  </r>
  <r>
    <x v="9"/>
    <n v="1171.18"/>
  </r>
  <r>
    <x v="9"/>
    <n v="1054.56"/>
  </r>
  <r>
    <x v="9"/>
    <n v="1681.21"/>
  </r>
  <r>
    <x v="9"/>
    <n v="379.77"/>
  </r>
  <r>
    <x v="9"/>
    <n v="3445.38"/>
  </r>
  <r>
    <x v="9"/>
    <n v="1622.62"/>
  </r>
  <r>
    <x v="9"/>
    <n v="640.64"/>
  </r>
  <r>
    <x v="9"/>
    <n v="585.16"/>
  </r>
  <r>
    <x v="10"/>
    <n v="1109.98"/>
  </r>
  <r>
    <x v="10"/>
    <n v="1098.08"/>
  </r>
  <r>
    <x v="10"/>
    <n v="827.25"/>
  </r>
  <r>
    <x v="10"/>
    <n v="741.88"/>
  </r>
  <r>
    <x v="10"/>
    <n v="1311.26"/>
  </r>
  <r>
    <x v="10"/>
    <n v="573.32000000000005"/>
  </r>
  <r>
    <x v="10"/>
    <n v="1115.22"/>
  </r>
  <r>
    <x v="10"/>
    <n v="845.84"/>
  </r>
  <r>
    <x v="10"/>
    <n v="1029.8"/>
  </r>
  <r>
    <x v="10"/>
    <n v="1189.83"/>
  </r>
  <r>
    <x v="10"/>
    <n v="2322.5"/>
  </r>
  <r>
    <x v="10"/>
    <n v="1014.43"/>
  </r>
  <r>
    <x v="10"/>
    <n v="826.97"/>
  </r>
  <r>
    <x v="11"/>
    <n v="1022.23"/>
  </r>
  <r>
    <x v="11"/>
    <n v="1099.69"/>
  </r>
  <r>
    <x v="11"/>
    <n v="710.52"/>
  </r>
  <r>
    <x v="11"/>
    <n v="499.18"/>
  </r>
  <r>
    <x v="11"/>
    <n v="1064.19"/>
  </r>
  <r>
    <x v="11"/>
    <n v="438.76"/>
  </r>
  <r>
    <x v="11"/>
    <n v="864.98"/>
  </r>
  <r>
    <x v="11"/>
    <n v="984.93"/>
  </r>
  <r>
    <x v="11"/>
    <n v="1493.49"/>
  </r>
  <r>
    <x v="11"/>
    <n v="689.43"/>
  </r>
  <r>
    <x v="11"/>
    <n v="682.24"/>
  </r>
  <r>
    <x v="11"/>
    <n v="458.54"/>
  </r>
  <r>
    <x v="11"/>
    <n v="1184.25"/>
  </r>
  <r>
    <x v="11"/>
    <n v="1512.85"/>
  </r>
  <r>
    <x v="11"/>
    <n v="2550.3200000000002"/>
  </r>
  <r>
    <x v="11"/>
    <n v="2399.62"/>
  </r>
  <r>
    <x v="0"/>
    <n v="740.8"/>
  </r>
  <r>
    <x v="0"/>
    <n v="1543.0500000000002"/>
  </r>
  <r>
    <x v="0"/>
    <n v="928.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x v="0"/>
    <n v="331.55"/>
  </r>
  <r>
    <s v="CUST012"/>
    <s v="Robert Anderson"/>
    <x v="0"/>
    <x v="1"/>
    <n v="1101.28"/>
    <n v="3"/>
    <n v="0.2"/>
    <x v="1"/>
    <n v="440.51"/>
  </r>
  <r>
    <s v="CUST017"/>
    <s v="James Taylor"/>
    <x v="1"/>
    <x v="0"/>
    <n v="713.34"/>
    <n v="17"/>
    <n v="0"/>
    <x v="2"/>
    <n v="285.33999999999997"/>
  </r>
  <r>
    <s v="CUST005"/>
    <s v="Robert Anderson"/>
    <x v="2"/>
    <x v="2"/>
    <n v="760.93"/>
    <n v="4"/>
    <n v="0.15"/>
    <x v="2"/>
    <n v="161.69999999999999"/>
  </r>
  <r>
    <s v="CUST030"/>
    <s v="James Wilson"/>
    <x v="3"/>
    <x v="0"/>
    <n v="847"/>
    <n v="12"/>
    <n v="0.2"/>
    <x v="3"/>
    <n v="271.04000000000002"/>
  </r>
  <r>
    <s v="CUST007"/>
    <s v="Michael Anderson"/>
    <x v="3"/>
    <x v="3"/>
    <n v="965.64"/>
    <n v="8"/>
    <n v="0.1"/>
    <x v="4"/>
    <n v="304.18"/>
  </r>
  <r>
    <s v="CUST001"/>
    <s v="Linda Wilson"/>
    <x v="0"/>
    <x v="2"/>
    <n v="1317.53"/>
    <n v="12"/>
    <n v="0.05"/>
    <x v="4"/>
    <n v="312.91000000000003"/>
  </r>
  <r>
    <s v="CUST026"/>
    <s v="Mary Davis"/>
    <x v="1"/>
    <x v="3"/>
    <n v="1074.47"/>
    <n v="6"/>
    <n v="0.2"/>
    <x v="5"/>
    <n v="300.85000000000002"/>
  </r>
  <r>
    <s v="CUST009"/>
    <s v="Linda Jackson"/>
    <x v="4"/>
    <x v="0"/>
    <n v="501.54"/>
    <n v="11"/>
    <n v="0.05"/>
    <x v="5"/>
    <n v="190.59"/>
  </r>
  <r>
    <s v="CUST010"/>
    <s v="David Thomas"/>
    <x v="4"/>
    <x v="1"/>
    <n v="737.31"/>
    <n v="2"/>
    <n v="0.05"/>
    <x v="5"/>
    <n v="350.22"/>
  </r>
  <r>
    <s v="CUST014"/>
    <s v="Emma Davis"/>
    <x v="0"/>
    <x v="4"/>
    <n v="1572.82"/>
    <n v="6"/>
    <n v="0.05"/>
    <x v="6"/>
    <n v="672.38"/>
  </r>
  <r>
    <s v="CUST014"/>
    <s v="David Thomas"/>
    <x v="4"/>
    <x v="0"/>
    <n v="1343.13"/>
    <n v="14"/>
    <n v="0.15"/>
    <x v="7"/>
    <n v="456.66"/>
  </r>
  <r>
    <s v="CUST007"/>
    <s v="Michael Anderson"/>
    <x v="4"/>
    <x v="0"/>
    <n v="1191.58"/>
    <n v="14"/>
    <n v="0.05"/>
    <x v="8"/>
    <n v="452.8"/>
  </r>
  <r>
    <s v="CUST023"/>
    <s v="Robert Anderson"/>
    <x v="0"/>
    <x v="3"/>
    <n v="822.28"/>
    <n v="7"/>
    <n v="0.05"/>
    <x v="8"/>
    <n v="273.41000000000003"/>
  </r>
  <r>
    <s v="CUST029"/>
    <s v="David Smith"/>
    <x v="3"/>
    <x v="3"/>
    <n v="521.66999999999996"/>
    <n v="15"/>
    <n v="0.15"/>
    <x v="9"/>
    <n v="155.19999999999999"/>
  </r>
  <r>
    <s v="CUST005"/>
    <s v="Sarah Anderson"/>
    <x v="2"/>
    <x v="2"/>
    <n v="1502.93"/>
    <n v="14"/>
    <n v="0.2"/>
    <x v="10"/>
    <n v="300.58999999999997"/>
  </r>
  <r>
    <s v="CUST008"/>
    <s v="Robert Anderson"/>
    <x v="2"/>
    <x v="0"/>
    <n v="877.58"/>
    <n v="10"/>
    <n v="0.15"/>
    <x v="11"/>
    <n v="298.38"/>
  </r>
  <r>
    <s v="CUST001"/>
    <s v="Lisa Thomas"/>
    <x v="0"/>
    <x v="0"/>
    <n v="636.70000000000005"/>
    <n v="4"/>
    <n v="0.2"/>
    <x v="11"/>
    <n v="203.74"/>
  </r>
  <r>
    <s v="CUST006"/>
    <s v="Mary Jackson"/>
    <x v="0"/>
    <x v="0"/>
    <n v="1506.14"/>
    <n v="13"/>
    <n v="0.2"/>
    <x v="12"/>
    <n v="481.96"/>
  </r>
  <r>
    <s v="CUST026"/>
    <s v="Mary Davis"/>
    <x v="4"/>
    <x v="2"/>
    <n v="645.02"/>
    <n v="4"/>
    <n v="0"/>
    <x v="13"/>
    <n v="161.26"/>
  </r>
  <r>
    <s v="CUST007"/>
    <s v="Lisa Davis"/>
    <x v="2"/>
    <x v="1"/>
    <n v="953.3"/>
    <n v="11"/>
    <n v="0"/>
    <x v="14"/>
    <n v="476.65"/>
  </r>
  <r>
    <s v="CUST022"/>
    <s v="Robert Anderson"/>
    <x v="3"/>
    <x v="2"/>
    <n v="388.56"/>
    <n v="14"/>
    <n v="0.15"/>
    <x v="15"/>
    <n v="82.57"/>
  </r>
  <r>
    <s v="CUST019"/>
    <s v="Mary Davis"/>
    <x v="0"/>
    <x v="0"/>
    <n v="743.17"/>
    <n v="9"/>
    <n v="0"/>
    <x v="15"/>
    <n v="297.27"/>
  </r>
  <r>
    <s v="CUST023"/>
    <s v="Mary Davis"/>
    <x v="4"/>
    <x v="2"/>
    <n v="706.37"/>
    <n v="6"/>
    <n v="0"/>
    <x v="15"/>
    <n v="176.59"/>
  </r>
  <r>
    <s v="CUST012"/>
    <s v="Mary Davis"/>
    <x v="4"/>
    <x v="4"/>
    <n v="925.31"/>
    <n v="8"/>
    <n v="0.1"/>
    <x v="16"/>
    <n v="374.75"/>
  </r>
  <r>
    <s v="CUST010"/>
    <s v="Linda Brown"/>
    <x v="2"/>
    <x v="2"/>
    <n v="1173.1199999999999"/>
    <n v="18"/>
    <n v="0"/>
    <x v="16"/>
    <n v="293.27999999999997"/>
  </r>
  <r>
    <s v="CUST030"/>
    <s v="John Brown"/>
    <x v="3"/>
    <x v="3"/>
    <n v="675.54"/>
    <n v="17"/>
    <n v="0"/>
    <x v="17"/>
    <n v="236.44"/>
  </r>
  <r>
    <s v="CUST007"/>
    <s v="Robert Anderson"/>
    <x v="4"/>
    <x v="0"/>
    <n v="939.09"/>
    <n v="2"/>
    <n v="0.05"/>
    <x v="18"/>
    <n v="356.85"/>
  </r>
  <r>
    <s v="CUST028"/>
    <s v="Linda Taylor"/>
    <x v="1"/>
    <x v="4"/>
    <n v="983.34"/>
    <n v="19"/>
    <n v="0.1"/>
    <x v="19"/>
    <n v="398.25"/>
  </r>
  <r>
    <s v="CUST028"/>
    <s v="James Wilson"/>
    <x v="2"/>
    <x v="2"/>
    <n v="801.21"/>
    <n v="3"/>
    <n v="0.2"/>
    <x v="19"/>
    <n v="160.24"/>
  </r>
  <r>
    <s v="CUST025"/>
    <s v="David Brown"/>
    <x v="3"/>
    <x v="2"/>
    <n v="1450.71"/>
    <n v="5"/>
    <n v="0.1"/>
    <x v="20"/>
    <n v="326.41000000000003"/>
  </r>
  <r>
    <s v="CUST022"/>
    <s v="David Davis"/>
    <x v="4"/>
    <x v="0"/>
    <n v="1023.21"/>
    <n v="18"/>
    <n v="0.05"/>
    <x v="21"/>
    <n v="388.82"/>
  </r>
  <r>
    <s v="CUST001"/>
    <s v="Mary Jackson"/>
    <x v="0"/>
    <x v="3"/>
    <n v="853.72"/>
    <n v="5"/>
    <n v="0.15"/>
    <x v="21"/>
    <n v="253.98"/>
  </r>
  <r>
    <s v="CUST021"/>
    <s v="Sarah Anderson"/>
    <x v="2"/>
    <x v="2"/>
    <n v="967.89"/>
    <n v="10"/>
    <n v="0.1"/>
    <x v="22"/>
    <n v="217.78"/>
  </r>
  <r>
    <s v="CUST015"/>
    <s v="Linda Taylor"/>
    <x v="3"/>
    <x v="4"/>
    <n v="1200.9000000000001"/>
    <n v="14"/>
    <n v="0.05"/>
    <x v="22"/>
    <n v="513.38"/>
  </r>
  <r>
    <s v="CUST012"/>
    <s v="Michael Anderson"/>
    <x v="0"/>
    <x v="0"/>
    <n v="472.38"/>
    <n v="12"/>
    <n v="0.2"/>
    <x v="22"/>
    <n v="151.16"/>
  </r>
  <r>
    <s v="CUST019"/>
    <s v="David Brown"/>
    <x v="1"/>
    <x v="4"/>
    <n v="840.92"/>
    <n v="9"/>
    <n v="0.05"/>
    <x v="22"/>
    <n v="359.49"/>
  </r>
  <r>
    <s v="CUST028"/>
    <s v="Lisa Davis"/>
    <x v="4"/>
    <x v="3"/>
    <n v="1410.06"/>
    <n v="11"/>
    <n v="0.05"/>
    <x v="23"/>
    <n v="468.84"/>
  </r>
  <r>
    <s v="CUST008"/>
    <s v="Mary Wilson"/>
    <x v="4"/>
    <x v="3"/>
    <n v="773.09"/>
    <n v="13"/>
    <n v="0.15"/>
    <x v="23"/>
    <n v="229.99"/>
  </r>
  <r>
    <s v="CUST016"/>
    <s v="Emma Wilson"/>
    <x v="1"/>
    <x v="0"/>
    <n v="580.42999999999995"/>
    <n v="19"/>
    <n v="0.15"/>
    <x v="24"/>
    <n v="197.35"/>
  </r>
  <r>
    <s v="CUST005"/>
    <s v="David Smith"/>
    <x v="2"/>
    <x v="0"/>
    <n v="1151.21"/>
    <n v="15"/>
    <n v="0.1"/>
    <x v="25"/>
    <n v="414.44"/>
  </r>
  <r>
    <s v="CUST028"/>
    <s v="James Wilson"/>
    <x v="4"/>
    <x v="4"/>
    <n v="1025.98"/>
    <n v="5"/>
    <n v="0.2"/>
    <x v="26"/>
    <n v="369.35"/>
  </r>
  <r>
    <s v="CUST023"/>
    <s v="David Davis"/>
    <x v="1"/>
    <x v="4"/>
    <n v="556.41999999999996"/>
    <n v="11"/>
    <n v="0.15"/>
    <x v="26"/>
    <n v="212.83"/>
  </r>
  <r>
    <s v="CUST021"/>
    <s v="James Wilson"/>
    <x v="4"/>
    <x v="0"/>
    <n v="840.85"/>
    <n v="19"/>
    <n v="0.1"/>
    <x v="27"/>
    <n v="302.70999999999998"/>
  </r>
  <r>
    <s v="CUST026"/>
    <s v="Emma Wilson"/>
    <x v="3"/>
    <x v="3"/>
    <n v="1227.25"/>
    <n v="12"/>
    <n v="0.15"/>
    <x v="27"/>
    <n v="365.11"/>
  </r>
  <r>
    <s v="CUST017"/>
    <s v="Linda Davis"/>
    <x v="4"/>
    <x v="2"/>
    <n v="856.7"/>
    <n v="2"/>
    <n v="0"/>
    <x v="28"/>
    <n v="214.18"/>
  </r>
  <r>
    <s v="CUST025"/>
    <s v="David Davis"/>
    <x v="4"/>
    <x v="4"/>
    <n v="1225.42"/>
    <n v="8"/>
    <n v="0.15"/>
    <x v="28"/>
    <n v="468.72"/>
  </r>
  <r>
    <s v="CUST011"/>
    <s v="Mary Davis"/>
    <x v="3"/>
    <x v="4"/>
    <n v="1001.57"/>
    <n v="12"/>
    <n v="0"/>
    <x v="29"/>
    <n v="450.71"/>
  </r>
  <r>
    <s v="CUST021"/>
    <s v="Michael Anderson"/>
    <x v="1"/>
    <x v="3"/>
    <n v="1186.8499999999999"/>
    <n v="19"/>
    <n v="0.2"/>
    <x v="30"/>
    <n v="332.32"/>
  </r>
  <r>
    <s v="CUST008"/>
    <s v="John Brown"/>
    <x v="2"/>
    <x v="2"/>
    <n v="775.45"/>
    <n v="6"/>
    <n v="0.1"/>
    <x v="31"/>
    <n v="174.48"/>
  </r>
  <r>
    <s v="CUST007"/>
    <s v="Linda Jackson"/>
    <x v="2"/>
    <x v="2"/>
    <n v="1021.47"/>
    <n v="6"/>
    <n v="0.05"/>
    <x v="32"/>
    <n v="242.6"/>
  </r>
  <r>
    <s v="CUST015"/>
    <s v="James Wilson"/>
    <x v="2"/>
    <x v="1"/>
    <n v="1226.6199999999999"/>
    <n v="7"/>
    <n v="0.1"/>
    <x v="33"/>
    <n v="551.98"/>
  </r>
  <r>
    <s v="CUST030"/>
    <s v="Sarah Davis"/>
    <x v="2"/>
    <x v="3"/>
    <n v="1086.93"/>
    <n v="2"/>
    <n v="0"/>
    <x v="34"/>
    <n v="380.43"/>
  </r>
  <r>
    <s v="CUST002"/>
    <s v="Lisa Davis"/>
    <x v="0"/>
    <x v="0"/>
    <n v="942.9"/>
    <n v="18"/>
    <n v="0.1"/>
    <x v="35"/>
    <n v="339.44"/>
  </r>
  <r>
    <s v="CUST009"/>
    <s v="Emma Davis"/>
    <x v="3"/>
    <x v="2"/>
    <n v="818.8"/>
    <n v="15"/>
    <n v="0.15"/>
    <x v="36"/>
    <n v="173.99"/>
  </r>
  <r>
    <s v="CUST005"/>
    <s v="Robert Anderson"/>
    <x v="2"/>
    <x v="3"/>
    <n v="919.04"/>
    <n v="10"/>
    <n v="0.2"/>
    <x v="36"/>
    <n v="257.33"/>
  </r>
  <r>
    <s v="CUST030"/>
    <s v="Emma Taylor"/>
    <x v="4"/>
    <x v="0"/>
    <n v="973.26"/>
    <n v="11"/>
    <n v="0"/>
    <x v="37"/>
    <n v="389.3"/>
  </r>
  <r>
    <s v="CUST029"/>
    <s v="Sarah Davis"/>
    <x v="3"/>
    <x v="2"/>
    <n v="741.61"/>
    <n v="1"/>
    <n v="0.2"/>
    <x v="38"/>
    <n v="148.32"/>
  </r>
  <r>
    <s v="CUST003"/>
    <s v="Emma Davis"/>
    <x v="3"/>
    <x v="0"/>
    <n v="1248.82"/>
    <n v="2"/>
    <n v="0.1"/>
    <x v="39"/>
    <n v="449.58"/>
  </r>
  <r>
    <s v="CUST012"/>
    <s v="Mary Wilson"/>
    <x v="0"/>
    <x v="1"/>
    <n v="1360.36"/>
    <n v="17"/>
    <n v="0"/>
    <x v="39"/>
    <n v="680.18"/>
  </r>
  <r>
    <s v="CUST021"/>
    <s v="Mary Davis"/>
    <x v="1"/>
    <x v="0"/>
    <n v="1383.3"/>
    <n v="8"/>
    <n v="0.1"/>
    <x v="40"/>
    <n v="497.99"/>
  </r>
  <r>
    <s v="CUST010"/>
    <s v="David Brown"/>
    <x v="4"/>
    <x v="4"/>
    <n v="488.99"/>
    <n v="9"/>
    <n v="0"/>
    <x v="41"/>
    <n v="220.05"/>
  </r>
  <r>
    <s v="CUST026"/>
    <s v="Mary Davis"/>
    <x v="1"/>
    <x v="3"/>
    <n v="933.71"/>
    <n v="17"/>
    <n v="0.1"/>
    <x v="42"/>
    <n v="294.12"/>
  </r>
  <r>
    <s v="CUST003"/>
    <s v="James Davis"/>
    <x v="0"/>
    <x v="2"/>
    <n v="1005.53"/>
    <n v="17"/>
    <n v="0.2"/>
    <x v="42"/>
    <n v="201.11"/>
  </r>
  <r>
    <s v="CUST029"/>
    <s v="Emma Wilson"/>
    <x v="2"/>
    <x v="2"/>
    <n v="1100.0999999999999"/>
    <n v="5"/>
    <n v="0.05"/>
    <x v="43"/>
    <n v="261.27"/>
  </r>
  <r>
    <s v="CUST003"/>
    <s v="James Wilson"/>
    <x v="3"/>
    <x v="3"/>
    <n v="1034.7"/>
    <n v="15"/>
    <n v="0.15"/>
    <x v="44"/>
    <n v="307.82"/>
  </r>
  <r>
    <s v="CUST002"/>
    <s v="Mary Davis"/>
    <x v="2"/>
    <x v="0"/>
    <n v="876.44"/>
    <n v="12"/>
    <n v="0.05"/>
    <x v="45"/>
    <n v="333.05"/>
  </r>
  <r>
    <s v="CUST020"/>
    <s v="David Brown"/>
    <x v="0"/>
    <x v="3"/>
    <n v="1371.34"/>
    <n v="5"/>
    <n v="0.05"/>
    <x v="45"/>
    <n v="455.97"/>
  </r>
  <r>
    <s v="CUST021"/>
    <s v="Mary Jackson"/>
    <x v="3"/>
    <x v="2"/>
    <n v="1020.26"/>
    <n v="11"/>
    <n v="0.05"/>
    <x v="46"/>
    <n v="242.31"/>
  </r>
  <r>
    <s v="CUST008"/>
    <s v="James Davis"/>
    <x v="4"/>
    <x v="4"/>
    <n v="804.81"/>
    <n v="1"/>
    <n v="0.05"/>
    <x v="47"/>
    <n v="344.06"/>
  </r>
  <r>
    <s v="CUST030"/>
    <s v="David Brown"/>
    <x v="4"/>
    <x v="2"/>
    <n v="608.66"/>
    <n v="1"/>
    <n v="0.05"/>
    <x v="48"/>
    <n v="144.56"/>
  </r>
  <r>
    <s v="CUST020"/>
    <s v="Linda Moore"/>
    <x v="2"/>
    <x v="4"/>
    <n v="981.2"/>
    <n v="19"/>
    <n v="0"/>
    <x v="49"/>
    <n v="441.54"/>
  </r>
  <r>
    <s v="CUST024"/>
    <s v="David Brown"/>
    <x v="1"/>
    <x v="2"/>
    <n v="539.77"/>
    <n v="10"/>
    <n v="0.15"/>
    <x v="50"/>
    <n v="114.7"/>
  </r>
  <r>
    <s v="CUST012"/>
    <s v="David Anderson"/>
    <x v="2"/>
    <x v="0"/>
    <n v="804.45"/>
    <n v="5"/>
    <n v="0.2"/>
    <x v="50"/>
    <n v="257.42"/>
  </r>
  <r>
    <s v="CUST024"/>
    <s v="Emma Davis"/>
    <x v="0"/>
    <x v="2"/>
    <n v="1526.6"/>
    <n v="13"/>
    <n v="0.2"/>
    <x v="51"/>
    <n v="305.32"/>
  </r>
  <r>
    <s v="CUST012"/>
    <s v="Linda Wilson"/>
    <x v="0"/>
    <x v="2"/>
    <n v="1215.26"/>
    <n v="5"/>
    <n v="0.15"/>
    <x v="52"/>
    <n v="258.24"/>
  </r>
  <r>
    <s v="CUST005"/>
    <s v="Linda Taylor"/>
    <x v="4"/>
    <x v="3"/>
    <n v="1261.3399999999999"/>
    <n v="3"/>
    <n v="0"/>
    <x v="53"/>
    <n v="441.47"/>
  </r>
  <r>
    <s v="CUST004"/>
    <s v="Lisa Thomas"/>
    <x v="3"/>
    <x v="3"/>
    <n v="518.07000000000005"/>
    <n v="7"/>
    <n v="0.05"/>
    <x v="54"/>
    <n v="172.26"/>
  </r>
  <r>
    <s v="CUST026"/>
    <s v="Linda Wilson"/>
    <x v="0"/>
    <x v="4"/>
    <n v="1111.3399999999999"/>
    <n v="1"/>
    <n v="0"/>
    <x v="55"/>
    <n v="500.1"/>
  </r>
  <r>
    <s v="CUST030"/>
    <s v="Mary Davis"/>
    <x v="1"/>
    <x v="1"/>
    <n v="1291.47"/>
    <n v="18"/>
    <n v="0.1"/>
    <x v="56"/>
    <n v="581.16"/>
  </r>
  <r>
    <s v="CUST007"/>
    <s v="David Brown"/>
    <x v="3"/>
    <x v="0"/>
    <n v="679.71"/>
    <n v="19"/>
    <n v="0"/>
    <x v="57"/>
    <n v="271.88"/>
  </r>
  <r>
    <s v="CUST020"/>
    <s v="Linda Jackson"/>
    <x v="1"/>
    <x v="3"/>
    <n v="1143.69"/>
    <n v="17"/>
    <n v="0"/>
    <x v="57"/>
    <n v="400.29"/>
  </r>
  <r>
    <s v="CUST028"/>
    <s v="Linda Brown"/>
    <x v="4"/>
    <x v="2"/>
    <n v="790.08"/>
    <n v="7"/>
    <n v="0.1"/>
    <x v="58"/>
    <n v="177.77"/>
  </r>
  <r>
    <s v="CUST005"/>
    <s v="Lisa Davis"/>
    <x v="4"/>
    <x v="0"/>
    <n v="1070.68"/>
    <n v="7"/>
    <n v="0.05"/>
    <x v="58"/>
    <n v="406.86"/>
  </r>
  <r>
    <s v="CUST015"/>
    <s v="David Thomas"/>
    <x v="0"/>
    <x v="1"/>
    <n v="1168.8900000000001"/>
    <n v="4"/>
    <n v="0.1"/>
    <x v="59"/>
    <n v="526"/>
  </r>
  <r>
    <s v="CUST003"/>
    <s v="James Davis"/>
    <x v="2"/>
    <x v="2"/>
    <n v="1335.87"/>
    <n v="17"/>
    <n v="0"/>
    <x v="59"/>
    <n v="333.97"/>
  </r>
  <r>
    <s v="CUST023"/>
    <s v="David Brown"/>
    <x v="1"/>
    <x v="3"/>
    <n v="873.7"/>
    <n v="9"/>
    <n v="0"/>
    <x v="60"/>
    <n v="305.8"/>
  </r>
  <r>
    <s v="CUST004"/>
    <s v="Sarah Davis"/>
    <x v="0"/>
    <x v="4"/>
    <n v="1443.98"/>
    <n v="19"/>
    <n v="0"/>
    <x v="61"/>
    <n v="649.79"/>
  </r>
  <r>
    <s v="CUST023"/>
    <s v="James Wilson"/>
    <x v="1"/>
    <x v="4"/>
    <n v="1154.33"/>
    <n v="11"/>
    <n v="0.15"/>
    <x v="62"/>
    <n v="441.53"/>
  </r>
  <r>
    <s v="CUST022"/>
    <s v="Linda Brown"/>
    <x v="2"/>
    <x v="0"/>
    <n v="1264.49"/>
    <n v="16"/>
    <n v="0.05"/>
    <x v="62"/>
    <n v="480.51"/>
  </r>
  <r>
    <s v="CUST007"/>
    <s v="Emma Taylor"/>
    <x v="0"/>
    <x v="3"/>
    <n v="1101.55"/>
    <n v="4"/>
    <n v="0.1"/>
    <x v="63"/>
    <n v="346.99"/>
  </r>
  <r>
    <s v="CUST013"/>
    <s v="Robert Anderson"/>
    <x v="2"/>
    <x v="3"/>
    <n v="727.73"/>
    <n v="1"/>
    <n v="0.1"/>
    <x v="64"/>
    <n v="229.23"/>
  </r>
  <r>
    <s v="CUST027"/>
    <s v="Emma Davis"/>
    <x v="1"/>
    <x v="4"/>
    <n v="875.41"/>
    <n v="13"/>
    <n v="0.15"/>
    <x v="64"/>
    <n v="334.84"/>
  </r>
  <r>
    <s v="CUST003"/>
    <s v="James Wilson"/>
    <x v="0"/>
    <x v="2"/>
    <n v="1158.94"/>
    <n v="19"/>
    <n v="0.2"/>
    <x v="65"/>
    <n v="231.79"/>
  </r>
  <r>
    <s v="CUST018"/>
    <s v="Mary Jackson"/>
    <x v="2"/>
    <x v="0"/>
    <n v="966.3"/>
    <n v="2"/>
    <n v="0.15"/>
    <x v="66"/>
    <n v="328.54"/>
  </r>
  <r>
    <s v="CUST020"/>
    <s v="James Taylor"/>
    <x v="2"/>
    <x v="0"/>
    <n v="917.48"/>
    <n v="6"/>
    <n v="0"/>
    <x v="67"/>
    <n v="366.99"/>
  </r>
  <r>
    <s v="CUST029"/>
    <s v="Emma Wilson"/>
    <x v="0"/>
    <x v="3"/>
    <n v="1172.97"/>
    <n v="7"/>
    <n v="0.15"/>
    <x v="68"/>
    <n v="348.96"/>
  </r>
  <r>
    <s v="CUST021"/>
    <s v="James Wilson"/>
    <x v="3"/>
    <x v="1"/>
    <n v="1205.82"/>
    <n v="11"/>
    <n v="0.1"/>
    <x v="68"/>
    <n v="542.62"/>
  </r>
  <r>
    <s v="CUST017"/>
    <s v="Sarah Davis"/>
    <x v="0"/>
    <x v="4"/>
    <n v="826.93"/>
    <n v="10"/>
    <n v="0.2"/>
    <x v="69"/>
    <n v="297.69"/>
  </r>
  <r>
    <s v="CUST003"/>
    <s v="James Wilson"/>
    <x v="4"/>
    <x v="1"/>
    <n v="902.19"/>
    <n v="12"/>
    <n v="0"/>
    <x v="69"/>
    <n v="451.1"/>
  </r>
  <r>
    <s v="CUST027"/>
    <s v="Emma Davis"/>
    <x v="3"/>
    <x v="0"/>
    <n v="585.97"/>
    <n v="17"/>
    <n v="0.1"/>
    <x v="70"/>
    <n v="210.95"/>
  </r>
  <r>
    <s v="CUST016"/>
    <s v="Michael Anderson"/>
    <x v="3"/>
    <x v="1"/>
    <n v="990.19"/>
    <n v="8"/>
    <n v="0.1"/>
    <x v="70"/>
    <n v="445.59"/>
  </r>
  <r>
    <s v="CUST008"/>
    <s v="David Davis"/>
    <x v="4"/>
    <x v="2"/>
    <n v="1014.09"/>
    <n v="13"/>
    <n v="0.2"/>
    <x v="71"/>
    <n v="202.82"/>
  </r>
  <r>
    <s v="CUST012"/>
    <s v="Lisa Davis"/>
    <x v="3"/>
    <x v="2"/>
    <n v="925.29"/>
    <n v="17"/>
    <n v="0"/>
    <x v="72"/>
    <n v="231.32"/>
  </r>
  <r>
    <s v="CUST025"/>
    <s v="Mary Jackson"/>
    <x v="1"/>
    <x v="3"/>
    <n v="1286.54"/>
    <n v="8"/>
    <n v="0"/>
    <x v="73"/>
    <n v="450.29"/>
  </r>
  <r>
    <s v="CUST014"/>
    <s v="Sarah Davis"/>
    <x v="2"/>
    <x v="0"/>
    <n v="961.62"/>
    <n v="8"/>
    <n v="0.2"/>
    <x v="74"/>
    <n v="307.72000000000003"/>
  </r>
  <r>
    <s v="CUST008"/>
    <s v="James Wilson"/>
    <x v="1"/>
    <x v="0"/>
    <n v="1081.1400000000001"/>
    <n v="19"/>
    <n v="0.15"/>
    <x v="74"/>
    <n v="367.59"/>
  </r>
  <r>
    <s v="CUST015"/>
    <s v="James Wilson"/>
    <x v="0"/>
    <x v="1"/>
    <n v="1923.66"/>
    <n v="9"/>
    <n v="0.2"/>
    <x v="75"/>
    <n v="769.46"/>
  </r>
  <r>
    <s v="CUST025"/>
    <s v="Emma Taylor"/>
    <x v="4"/>
    <x v="1"/>
    <n v="728.71"/>
    <n v="14"/>
    <n v="0.1"/>
    <x v="76"/>
    <n v="327.92"/>
  </r>
  <r>
    <s v="CUST019"/>
    <s v="Linda Jackson"/>
    <x v="4"/>
    <x v="1"/>
    <n v="1301.8900000000001"/>
    <n v="7"/>
    <n v="0.15"/>
    <x v="76"/>
    <n v="553.29999999999995"/>
  </r>
  <r>
    <s v="CUST024"/>
    <s v="Emma Taylor"/>
    <x v="1"/>
    <x v="0"/>
    <n v="980.18"/>
    <n v="16"/>
    <n v="0.1"/>
    <x v="77"/>
    <n v="352.86"/>
  </r>
  <r>
    <s v="CUST027"/>
    <s v="James Wilson"/>
    <x v="0"/>
    <x v="1"/>
    <n v="697.57"/>
    <n v="17"/>
    <n v="0.1"/>
    <x v="78"/>
    <n v="313.91000000000003"/>
  </r>
  <r>
    <s v="CUST006"/>
    <s v="David Anderson"/>
    <x v="0"/>
    <x v="3"/>
    <n v="1193.6099999999999"/>
    <n v="1"/>
    <n v="0.15"/>
    <x v="78"/>
    <n v="355.1"/>
  </r>
  <r>
    <s v="CUST009"/>
    <s v="Emma Davis"/>
    <x v="2"/>
    <x v="2"/>
    <n v="771.02"/>
    <n v="1"/>
    <n v="0"/>
    <x v="79"/>
    <n v="192.76"/>
  </r>
  <r>
    <s v="CUST003"/>
    <s v="Linda Moore"/>
    <x v="3"/>
    <x v="1"/>
    <n v="661.09"/>
    <n v="1"/>
    <n v="0.2"/>
    <x v="80"/>
    <n v="264.44"/>
  </r>
  <r>
    <s v="CUST012"/>
    <s v="David Brown"/>
    <x v="0"/>
    <x v="2"/>
    <n v="688.83"/>
    <n v="15"/>
    <n v="0"/>
    <x v="81"/>
    <n v="172.21"/>
  </r>
  <r>
    <s v="CUST013"/>
    <s v="Linda Wilson"/>
    <x v="4"/>
    <x v="0"/>
    <n v="1249.0999999999999"/>
    <n v="4"/>
    <n v="0.05"/>
    <x v="82"/>
    <n v="474.66"/>
  </r>
  <r>
    <s v="CUST008"/>
    <s v="James Wilson"/>
    <x v="1"/>
    <x v="4"/>
    <n v="1014.22"/>
    <n v="14"/>
    <n v="0.05"/>
    <x v="83"/>
    <n v="433.58"/>
  </r>
  <r>
    <s v="CUST025"/>
    <s v="Lisa Davis"/>
    <x v="1"/>
    <x v="0"/>
    <n v="1010.58"/>
    <n v="2"/>
    <n v="0.15"/>
    <x v="84"/>
    <n v="343.6"/>
  </r>
  <r>
    <s v="CUST026"/>
    <s v="Mary Wilson"/>
    <x v="3"/>
    <x v="3"/>
    <n v="957.29"/>
    <n v="4"/>
    <n v="0.05"/>
    <x v="84"/>
    <n v="318.3"/>
  </r>
  <r>
    <s v="CUST001"/>
    <s v="Lisa Thomas"/>
    <x v="3"/>
    <x v="3"/>
    <n v="1077.92"/>
    <n v="3"/>
    <n v="0.05"/>
    <x v="85"/>
    <n v="358.41"/>
  </r>
  <r>
    <s v="CUST028"/>
    <s v="Linda Brown"/>
    <x v="2"/>
    <x v="1"/>
    <n v="1163.01"/>
    <n v="5"/>
    <n v="0"/>
    <x v="86"/>
    <n v="581.5"/>
  </r>
  <r>
    <s v="CUST025"/>
    <s v="Lisa Thomas"/>
    <x v="1"/>
    <x v="4"/>
    <n v="1014.56"/>
    <n v="10"/>
    <n v="0.1"/>
    <x v="87"/>
    <n v="410.9"/>
  </r>
  <r>
    <s v="CUST019"/>
    <s v="James Taylor"/>
    <x v="2"/>
    <x v="2"/>
    <n v="718.04"/>
    <n v="14"/>
    <n v="0"/>
    <x v="88"/>
    <n v="179.51"/>
  </r>
  <r>
    <s v="CUST004"/>
    <s v="James Taylor"/>
    <x v="4"/>
    <x v="1"/>
    <n v="1277.8499999999999"/>
    <n v="18"/>
    <n v="0.2"/>
    <x v="88"/>
    <n v="511.14"/>
  </r>
  <r>
    <s v="CUST024"/>
    <s v="James Wilson"/>
    <x v="3"/>
    <x v="2"/>
    <n v="706.73"/>
    <n v="1"/>
    <n v="0.15"/>
    <x v="88"/>
    <n v="150.18"/>
  </r>
  <r>
    <s v="CUST002"/>
    <s v="Linda Brown"/>
    <x v="1"/>
    <x v="2"/>
    <n v="1410.59"/>
    <n v="15"/>
    <n v="0"/>
    <x v="89"/>
    <n v="352.65"/>
  </r>
  <r>
    <s v="CUST009"/>
    <s v="Emma Wilson"/>
    <x v="2"/>
    <x v="3"/>
    <n v="1350.33"/>
    <n v="10"/>
    <n v="0"/>
    <x v="89"/>
    <n v="472.62"/>
  </r>
  <r>
    <s v="CUST029"/>
    <s v="Lisa Thomas"/>
    <x v="1"/>
    <x v="2"/>
    <n v="919.18"/>
    <n v="4"/>
    <n v="0.15"/>
    <x v="89"/>
    <n v="195.33"/>
  </r>
  <r>
    <s v="CUST027"/>
    <s v="James Wilson"/>
    <x v="0"/>
    <x v="2"/>
    <n v="258.51"/>
    <n v="19"/>
    <n v="0"/>
    <x v="90"/>
    <n v="64.63"/>
  </r>
  <r>
    <s v="CUST011"/>
    <s v="Emma Wilson"/>
    <x v="1"/>
    <x v="0"/>
    <n v="1213.48"/>
    <n v="5"/>
    <n v="0.05"/>
    <x v="90"/>
    <n v="461.12"/>
  </r>
  <r>
    <s v="CUST021"/>
    <s v="Emma Davis"/>
    <x v="4"/>
    <x v="0"/>
    <n v="1150.28"/>
    <n v="8"/>
    <n v="0.05"/>
    <x v="91"/>
    <n v="437.11"/>
  </r>
  <r>
    <s v="CUST014"/>
    <s v="David Anderson"/>
    <x v="2"/>
    <x v="3"/>
    <n v="853.86"/>
    <n v="8"/>
    <n v="0.1"/>
    <x v="91"/>
    <n v="268.97000000000003"/>
  </r>
  <r>
    <s v="CUST018"/>
    <s v="Lisa Thomas"/>
    <x v="2"/>
    <x v="2"/>
    <n v="1061.04"/>
    <n v="1"/>
    <n v="0"/>
    <x v="92"/>
    <n v="265.26"/>
  </r>
  <r>
    <s v="CUST001"/>
    <s v="Sarah Anderson"/>
    <x v="0"/>
    <x v="2"/>
    <n v="894.55"/>
    <n v="19"/>
    <n v="0.2"/>
    <x v="93"/>
    <n v="178.91"/>
  </r>
  <r>
    <s v="CUST007"/>
    <s v="Emma Davis"/>
    <x v="3"/>
    <x v="4"/>
    <n v="833.91"/>
    <n v="3"/>
    <n v="0.05"/>
    <x v="94"/>
    <n v="356.5"/>
  </r>
  <r>
    <s v="CUST015"/>
    <s v="David Anderson"/>
    <x v="0"/>
    <x v="3"/>
    <n v="820.19"/>
    <n v="4"/>
    <n v="0.2"/>
    <x v="95"/>
    <n v="229.65"/>
  </r>
  <r>
    <s v="CUST015"/>
    <s v="Emma Davis"/>
    <x v="4"/>
    <x v="2"/>
    <n v="511.74"/>
    <n v="8"/>
    <n v="0.05"/>
    <x v="96"/>
    <n v="121.54"/>
  </r>
  <r>
    <s v="CUST002"/>
    <s v="Emma Wilson"/>
    <x v="2"/>
    <x v="3"/>
    <n v="806.03"/>
    <n v="19"/>
    <n v="0.05"/>
    <x v="97"/>
    <n v="268"/>
  </r>
  <r>
    <s v="CUST001"/>
    <s v="Michael Anderson"/>
    <x v="4"/>
    <x v="3"/>
    <n v="1432.47"/>
    <n v="16"/>
    <n v="0.15"/>
    <x v="98"/>
    <n v="426.16"/>
  </r>
  <r>
    <s v="CUST027"/>
    <s v="Linda Wilson"/>
    <x v="4"/>
    <x v="2"/>
    <n v="1488.58"/>
    <n v="10"/>
    <n v="0.15"/>
    <x v="98"/>
    <n v="316.32"/>
  </r>
  <r>
    <s v="CUST026"/>
    <s v="Emma Taylor"/>
    <x v="1"/>
    <x v="0"/>
    <n v="1231.26"/>
    <n v="9"/>
    <n v="0"/>
    <x v="99"/>
    <n v="492.5"/>
  </r>
  <r>
    <s v="CUST026"/>
    <s v="Sarah Anderson"/>
    <x v="0"/>
    <x v="2"/>
    <n v="1161.67"/>
    <n v="19"/>
    <n v="0.2"/>
    <x v="100"/>
    <n v="232.33"/>
  </r>
  <r>
    <s v="CUST022"/>
    <s v="Lisa Thomas"/>
    <x v="4"/>
    <x v="4"/>
    <n v="388.23"/>
    <n v="16"/>
    <n v="0.05"/>
    <x v="101"/>
    <n v="165.97"/>
  </r>
  <r>
    <s v="CUST004"/>
    <s v="Mary Davis"/>
    <x v="3"/>
    <x v="1"/>
    <n v="1589.42"/>
    <n v="6"/>
    <n v="0.15"/>
    <x v="102"/>
    <n v="675.5"/>
  </r>
  <r>
    <s v="CUST001"/>
    <s v="David Anderson"/>
    <x v="3"/>
    <x v="1"/>
    <n v="336.66"/>
    <n v="13"/>
    <n v="0.2"/>
    <x v="102"/>
    <n v="134.66"/>
  </r>
  <r>
    <s v="CUST022"/>
    <s v="James Wilson"/>
    <x v="0"/>
    <x v="0"/>
    <n v="1353.79"/>
    <n v="14"/>
    <n v="0.1"/>
    <x v="103"/>
    <n v="487.36"/>
  </r>
  <r>
    <s v="CUST011"/>
    <s v="Linda Moore"/>
    <x v="4"/>
    <x v="1"/>
    <n v="662.61"/>
    <n v="11"/>
    <n v="0.05"/>
    <x v="104"/>
    <n v="314.74"/>
  </r>
  <r>
    <s v="CUST028"/>
    <s v="Lisa Davis"/>
    <x v="3"/>
    <x v="4"/>
    <n v="309.42"/>
    <n v="1"/>
    <n v="0.2"/>
    <x v="104"/>
    <n v="111.39"/>
  </r>
  <r>
    <s v="CUST011"/>
    <s v="Linda Wilson"/>
    <x v="3"/>
    <x v="0"/>
    <n v="884.63"/>
    <n v="18"/>
    <n v="0.1"/>
    <x v="105"/>
    <n v="318.47000000000003"/>
  </r>
  <r>
    <s v="CUST028"/>
    <s v="James Wilson"/>
    <x v="4"/>
    <x v="4"/>
    <n v="745.05"/>
    <n v="10"/>
    <n v="0.1"/>
    <x v="106"/>
    <n v="301.75"/>
  </r>
  <r>
    <s v="CUST016"/>
    <s v="James Taylor"/>
    <x v="2"/>
    <x v="1"/>
    <n v="870.23"/>
    <n v="5"/>
    <n v="0.05"/>
    <x v="106"/>
    <n v="413.36"/>
  </r>
  <r>
    <s v="CUST010"/>
    <s v="Linda Wilson"/>
    <x v="0"/>
    <x v="3"/>
    <n v="862.19"/>
    <n v="18"/>
    <n v="0.05"/>
    <x v="107"/>
    <n v="286.68"/>
  </r>
  <r>
    <s v="CUST013"/>
    <s v="Mary Wilson"/>
    <x v="3"/>
    <x v="1"/>
    <n v="1171.18"/>
    <n v="19"/>
    <n v="0.05"/>
    <x v="108"/>
    <n v="556.30999999999995"/>
  </r>
  <r>
    <s v="CUST015"/>
    <s v="Robert Anderson"/>
    <x v="2"/>
    <x v="3"/>
    <n v="1054.56"/>
    <n v="11"/>
    <n v="0.1"/>
    <x v="109"/>
    <n v="332.19"/>
  </r>
  <r>
    <s v="CUST015"/>
    <s v="James Wilson"/>
    <x v="3"/>
    <x v="2"/>
    <n v="1681.21"/>
    <n v="5"/>
    <n v="0.2"/>
    <x v="110"/>
    <n v="336.24"/>
  </r>
  <r>
    <s v="CUST015"/>
    <s v="David Thomas"/>
    <x v="0"/>
    <x v="1"/>
    <n v="379.77"/>
    <n v="9"/>
    <n v="0.05"/>
    <x v="111"/>
    <n v="180.39"/>
  </r>
  <r>
    <s v="CUST008"/>
    <s v="Lisa Thomas"/>
    <x v="4"/>
    <x v="1"/>
    <n v="1076.33"/>
    <n v="2"/>
    <n v="0.1"/>
    <x v="112"/>
    <n v="484.35"/>
  </r>
  <r>
    <s v="CUST008"/>
    <s v="Mary Davis"/>
    <x v="4"/>
    <x v="4"/>
    <n v="1250.71"/>
    <n v="7"/>
    <n v="0"/>
    <x v="112"/>
    <n v="562.82000000000005"/>
  </r>
  <r>
    <s v="CUST023"/>
    <s v="James Taylor"/>
    <x v="2"/>
    <x v="1"/>
    <n v="1118.3399999999999"/>
    <n v="6"/>
    <n v="0.2"/>
    <x v="112"/>
    <n v="447.34"/>
  </r>
  <r>
    <s v="CUST024"/>
    <s v="Linda Taylor"/>
    <x v="3"/>
    <x v="1"/>
    <n v="1622.62"/>
    <n v="12"/>
    <n v="0.2"/>
    <x v="113"/>
    <n v="649.04999999999995"/>
  </r>
  <r>
    <s v="CUST018"/>
    <s v="Lisa Davis"/>
    <x v="3"/>
    <x v="0"/>
    <n v="640.64"/>
    <n v="11"/>
    <n v="0.2"/>
    <x v="114"/>
    <n v="205"/>
  </r>
  <r>
    <s v="CUST030"/>
    <s v="Sarah Anderson"/>
    <x v="0"/>
    <x v="1"/>
    <n v="585.16"/>
    <n v="17"/>
    <n v="0.1"/>
    <x v="115"/>
    <n v="263.32"/>
  </r>
  <r>
    <s v="CUST030"/>
    <s v="Mary Davis"/>
    <x v="1"/>
    <x v="1"/>
    <n v="1109.98"/>
    <n v="5"/>
    <n v="0.2"/>
    <x v="116"/>
    <n v="443.99"/>
  </r>
  <r>
    <s v="CUST015"/>
    <s v="Lisa Thomas"/>
    <x v="1"/>
    <x v="0"/>
    <n v="1098.08"/>
    <n v="9"/>
    <n v="0.1"/>
    <x v="117"/>
    <n v="395.31"/>
  </r>
  <r>
    <s v="CUST002"/>
    <s v="Lisa Davis"/>
    <x v="0"/>
    <x v="4"/>
    <n v="827.25"/>
    <n v="7"/>
    <n v="0.1"/>
    <x v="118"/>
    <n v="335.04"/>
  </r>
  <r>
    <s v="CUST024"/>
    <s v="Linda Wilson"/>
    <x v="4"/>
    <x v="1"/>
    <n v="741.88"/>
    <n v="16"/>
    <n v="0.1"/>
    <x v="119"/>
    <n v="333.85"/>
  </r>
  <r>
    <s v="CUST004"/>
    <s v="James Davis"/>
    <x v="1"/>
    <x v="4"/>
    <n v="1311.26"/>
    <n v="6"/>
    <n v="0.1"/>
    <x v="120"/>
    <n v="531.05999999999995"/>
  </r>
  <r>
    <s v="CUST004"/>
    <s v="Mary Davis"/>
    <x v="2"/>
    <x v="4"/>
    <n v="573.32000000000005"/>
    <n v="19"/>
    <n v="0.1"/>
    <x v="121"/>
    <n v="232.19"/>
  </r>
  <r>
    <s v="CUST028"/>
    <s v="James Wilson"/>
    <x v="0"/>
    <x v="2"/>
    <n v="1115.22"/>
    <n v="14"/>
    <n v="0.2"/>
    <x v="122"/>
    <n v="223.04"/>
  </r>
  <r>
    <s v="CUST012"/>
    <s v="Lisa Thomas"/>
    <x v="3"/>
    <x v="1"/>
    <n v="845.84"/>
    <n v="4"/>
    <n v="0"/>
    <x v="123"/>
    <n v="422.92"/>
  </r>
  <r>
    <s v="CUST026"/>
    <s v="David Brown"/>
    <x v="0"/>
    <x v="2"/>
    <n v="1029.8"/>
    <n v="3"/>
    <n v="0"/>
    <x v="124"/>
    <n v="257.45"/>
  </r>
  <r>
    <s v="CUST009"/>
    <s v="Mary Davis"/>
    <x v="3"/>
    <x v="0"/>
    <n v="1189.83"/>
    <n v="2"/>
    <n v="0.2"/>
    <x v="125"/>
    <n v="380.75"/>
  </r>
  <r>
    <s v="CUST003"/>
    <s v="Sarah Anderson"/>
    <x v="2"/>
    <x v="0"/>
    <n v="704.28"/>
    <n v="15"/>
    <n v="0.2"/>
    <x v="126"/>
    <n v="225.37"/>
  </r>
  <r>
    <s v="CUST002"/>
    <s v="Mary Jackson"/>
    <x v="4"/>
    <x v="4"/>
    <n v="1618.22"/>
    <n v="12"/>
    <n v="0.2"/>
    <x v="126"/>
    <n v="582.55999999999995"/>
  </r>
  <r>
    <s v="CUST013"/>
    <s v="Linda Taylor"/>
    <x v="4"/>
    <x v="0"/>
    <n v="1014.43"/>
    <n v="2"/>
    <n v="0.15"/>
    <x v="127"/>
    <n v="344.91"/>
  </r>
  <r>
    <s v="CUST018"/>
    <s v="Mary Davis"/>
    <x v="4"/>
    <x v="1"/>
    <n v="826.97"/>
    <n v="18"/>
    <n v="0.2"/>
    <x v="128"/>
    <n v="330.79"/>
  </r>
  <r>
    <s v="CUST017"/>
    <s v="Mary Davis"/>
    <x v="4"/>
    <x v="1"/>
    <n v="1022.23"/>
    <n v="8"/>
    <n v="0.1"/>
    <x v="129"/>
    <n v="460"/>
  </r>
  <r>
    <s v="CUST004"/>
    <s v="Linda Wilson"/>
    <x v="1"/>
    <x v="0"/>
    <n v="1099.69"/>
    <n v="6"/>
    <n v="0"/>
    <x v="130"/>
    <n v="439.88"/>
  </r>
  <r>
    <s v="CUST028"/>
    <s v="Sarah Davis"/>
    <x v="3"/>
    <x v="0"/>
    <n v="710.52"/>
    <n v="8"/>
    <n v="0.1"/>
    <x v="131"/>
    <n v="255.79"/>
  </r>
  <r>
    <s v="CUST028"/>
    <s v="Mary Wilson"/>
    <x v="3"/>
    <x v="0"/>
    <n v="499.18"/>
    <n v="15"/>
    <n v="0.2"/>
    <x v="132"/>
    <n v="159.74"/>
  </r>
  <r>
    <s v="CUST014"/>
    <s v="Emma Davis"/>
    <x v="2"/>
    <x v="0"/>
    <n v="1064.19"/>
    <n v="18"/>
    <n v="0.05"/>
    <x v="133"/>
    <n v="404.39"/>
  </r>
  <r>
    <s v="CUST003"/>
    <s v="Emma Davis"/>
    <x v="1"/>
    <x v="4"/>
    <n v="438.76"/>
    <n v="18"/>
    <n v="0.05"/>
    <x v="134"/>
    <n v="187.57"/>
  </r>
  <r>
    <s v="CUST029"/>
    <s v="David Brown"/>
    <x v="0"/>
    <x v="1"/>
    <n v="864.98"/>
    <n v="2"/>
    <n v="0.05"/>
    <x v="135"/>
    <n v="410.87"/>
  </r>
  <r>
    <s v="CUST021"/>
    <s v="David Brown"/>
    <x v="0"/>
    <x v="3"/>
    <n v="984.93"/>
    <n v="14"/>
    <n v="0.2"/>
    <x v="136"/>
    <n v="275.77999999999997"/>
  </r>
  <r>
    <s v="CUST007"/>
    <s v="David Brown"/>
    <x v="0"/>
    <x v="1"/>
    <n v="1493.49"/>
    <n v="18"/>
    <n v="0"/>
    <x v="137"/>
    <n v="746.74"/>
  </r>
  <r>
    <s v="CUST009"/>
    <s v="Linda Taylor"/>
    <x v="2"/>
    <x v="1"/>
    <n v="689.43"/>
    <n v="9"/>
    <n v="0.1"/>
    <x v="138"/>
    <n v="310.24"/>
  </r>
  <r>
    <s v="CUST023"/>
    <s v="Mary Wilson"/>
    <x v="2"/>
    <x v="1"/>
    <n v="682.24"/>
    <n v="1"/>
    <n v="0"/>
    <x v="139"/>
    <n v="341.12"/>
  </r>
  <r>
    <s v="CUST029"/>
    <s v="Michael Anderson"/>
    <x v="3"/>
    <x v="2"/>
    <n v="458.54"/>
    <n v="15"/>
    <n v="0.2"/>
    <x v="140"/>
    <n v="91.71"/>
  </r>
  <r>
    <s v="CUST009"/>
    <s v="Michael Anderson"/>
    <x v="2"/>
    <x v="3"/>
    <n v="1184.25"/>
    <n v="11"/>
    <n v="0.2"/>
    <x v="141"/>
    <n v="331.59"/>
  </r>
  <r>
    <s v="CUST007"/>
    <s v="James Davis"/>
    <x v="2"/>
    <x v="1"/>
    <n v="762.14"/>
    <n v="9"/>
    <n v="0"/>
    <x v="142"/>
    <n v="381.07"/>
  </r>
  <r>
    <s v="CUST030"/>
    <s v="Linda Taylor"/>
    <x v="3"/>
    <x v="0"/>
    <n v="750.71"/>
    <n v="10"/>
    <n v="0.15"/>
    <x v="142"/>
    <n v="255.24"/>
  </r>
  <r>
    <s v="CUST018"/>
    <s v="David Anderson"/>
    <x v="4"/>
    <x v="1"/>
    <n v="1456.94"/>
    <n v="14"/>
    <n v="0.05"/>
    <x v="143"/>
    <n v="692.05"/>
  </r>
  <r>
    <s v="CUST008"/>
    <s v="Emma Wilson"/>
    <x v="1"/>
    <x v="3"/>
    <n v="1093.3800000000001"/>
    <n v="17"/>
    <n v="0.1"/>
    <x v="143"/>
    <n v="344.41"/>
  </r>
  <r>
    <s v="CUST014"/>
    <s v="Sarah Anderson"/>
    <x v="0"/>
    <x v="1"/>
    <n v="934.27"/>
    <n v="8"/>
    <n v="0.15"/>
    <x v="144"/>
    <n v="397.06"/>
  </r>
  <r>
    <s v="CUST024"/>
    <s v="David Thomas"/>
    <x v="4"/>
    <x v="1"/>
    <n v="1465.35"/>
    <n v="8"/>
    <n v="0.2"/>
    <x v="144"/>
    <n v="586.14"/>
  </r>
  <r>
    <s v="CUST028"/>
    <s v="Robert Anderson"/>
    <x v="2"/>
    <x v="4"/>
    <n v="740.8"/>
    <n v="3"/>
    <n v="0"/>
    <x v="145"/>
    <n v="333.36"/>
  </r>
  <r>
    <s v="CUST015"/>
    <s v="Sarah Anderson"/>
    <x v="0"/>
    <x v="4"/>
    <n v="545.44000000000005"/>
    <n v="17"/>
    <n v="0"/>
    <x v="146"/>
    <n v="245.45"/>
  </r>
  <r>
    <s v="CUST010"/>
    <s v="David Thomas"/>
    <x v="1"/>
    <x v="0"/>
    <n v="997.61"/>
    <n v="8"/>
    <n v="0.05"/>
    <x v="146"/>
    <n v="379.09"/>
  </r>
  <r>
    <s v="CUST016"/>
    <s v="David Thomas"/>
    <x v="2"/>
    <x v="1"/>
    <n v="928.32"/>
    <n v="2"/>
    <n v="0.05"/>
    <x v="147"/>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378AF7-B1AA-4F76-BE1D-81701FC7F5D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G10" firstHeaderRow="1" firstDataRow="2" firstDataCol="1"/>
  <pivotFields count="12">
    <pivotField showAll="0"/>
    <pivotField showAll="0"/>
    <pivotField axis="axisCol"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6">
    <i>
      <x/>
    </i>
    <i>
      <x v="1"/>
    </i>
    <i>
      <x v="2"/>
    </i>
    <i>
      <x v="3"/>
    </i>
    <i>
      <x v="4"/>
    </i>
    <i t="grand">
      <x/>
    </i>
  </rowItems>
  <colFields count="1">
    <field x="2"/>
  </colFields>
  <colItems count="6">
    <i>
      <x/>
    </i>
    <i>
      <x v="1"/>
    </i>
    <i>
      <x v="2"/>
    </i>
    <i>
      <x v="3"/>
    </i>
    <i>
      <x v="4"/>
    </i>
    <i t="grand">
      <x/>
    </i>
  </colItems>
  <dataFields count="1">
    <dataField name="Sum of Sales" fld="4" baseField="0" baseItem="0"/>
  </dataFields>
  <chartFormats count="133">
    <chartFormat chart="3" format="15" series="1">
      <pivotArea type="data" outline="0" fieldPosition="0">
        <references count="1">
          <reference field="4294967294" count="1" selected="0">
            <x v="0"/>
          </reference>
        </references>
      </pivotArea>
    </chartFormat>
    <chartFormat chart="3" format="16" series="1">
      <pivotArea type="data" outline="0" fieldPosition="0">
        <references count="2">
          <reference field="4294967294" count="1" selected="0">
            <x v="0"/>
          </reference>
          <reference field="3" count="1" selected="0">
            <x v="1"/>
          </reference>
        </references>
      </pivotArea>
    </chartFormat>
    <chartFormat chart="3" format="17" series="1">
      <pivotArea type="data" outline="0" fieldPosition="0">
        <references count="2">
          <reference field="4294967294" count="1" selected="0">
            <x v="0"/>
          </reference>
          <reference field="3" count="1" selected="0">
            <x v="2"/>
          </reference>
        </references>
      </pivotArea>
    </chartFormat>
    <chartFormat chart="3" format="18" series="1">
      <pivotArea type="data" outline="0" fieldPosition="0">
        <references count="2">
          <reference field="4294967294" count="1" selected="0">
            <x v="0"/>
          </reference>
          <reference field="3" count="1" selected="0">
            <x v="3"/>
          </reference>
        </references>
      </pivotArea>
    </chartFormat>
    <chartFormat chart="3" format="19" series="1">
      <pivotArea type="data" outline="0" fieldPosition="0">
        <references count="2">
          <reference field="4294967294" count="1" selected="0">
            <x v="0"/>
          </reference>
          <reference field="3" count="1" selected="0">
            <x v="4"/>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4" format="4" series="1">
      <pivotArea type="data" outline="0" fieldPosition="0">
        <references count="2">
          <reference field="4294967294" count="1" selected="0">
            <x v="0"/>
          </reference>
          <reference field="3" count="1" selected="0">
            <x v="4"/>
          </reference>
        </references>
      </pivotArea>
    </chartFormat>
    <chartFormat chart="4" format="5" series="1">
      <pivotArea type="data" outline="0" fieldPosition="0">
        <references count="3">
          <reference field="4294967294" count="1" selected="0">
            <x v="0"/>
          </reference>
          <reference field="2" count="1" selected="0">
            <x v="3"/>
          </reference>
          <reference field="3" count="1" selected="0">
            <x v="0"/>
          </reference>
        </references>
      </pivotArea>
    </chartFormat>
    <chartFormat chart="4" format="6" series="1">
      <pivotArea type="data" outline="0" fieldPosition="0">
        <references count="3">
          <reference field="4294967294" count="1" selected="0">
            <x v="0"/>
          </reference>
          <reference field="2" count="1" selected="0">
            <x v="4"/>
          </reference>
          <reference field="3" count="1" selected="0">
            <x v="0"/>
          </reference>
        </references>
      </pivotArea>
    </chartFormat>
    <chartFormat chart="4" format="7" series="1">
      <pivotArea type="data" outline="0" fieldPosition="0">
        <references count="3">
          <reference field="4294967294" count="1" selected="0">
            <x v="0"/>
          </reference>
          <reference field="2" count="1" selected="0">
            <x v="0"/>
          </reference>
          <reference field="3" count="1" selected="0">
            <x v="1"/>
          </reference>
        </references>
      </pivotArea>
    </chartFormat>
    <chartFormat chart="4" format="8" series="1">
      <pivotArea type="data" outline="0" fieldPosition="0">
        <references count="3">
          <reference field="4294967294" count="1" selected="0">
            <x v="0"/>
          </reference>
          <reference field="2" count="1" selected="0">
            <x v="1"/>
          </reference>
          <reference field="3" count="1" selected="0">
            <x v="1"/>
          </reference>
        </references>
      </pivotArea>
    </chartFormat>
    <chartFormat chart="4" format="9" series="1">
      <pivotArea type="data" outline="0" fieldPosition="0">
        <references count="3">
          <reference field="4294967294" count="1" selected="0">
            <x v="0"/>
          </reference>
          <reference field="2" count="1" selected="0">
            <x v="2"/>
          </reference>
          <reference field="3" count="1" selected="0">
            <x v="1"/>
          </reference>
        </references>
      </pivotArea>
    </chartFormat>
    <chartFormat chart="4" format="10" series="1">
      <pivotArea type="data" outline="0" fieldPosition="0">
        <references count="3">
          <reference field="4294967294" count="1" selected="0">
            <x v="0"/>
          </reference>
          <reference field="2" count="1" selected="0">
            <x v="3"/>
          </reference>
          <reference field="3" count="1" selected="0">
            <x v="1"/>
          </reference>
        </references>
      </pivotArea>
    </chartFormat>
    <chartFormat chart="4" format="11" series="1">
      <pivotArea type="data" outline="0" fieldPosition="0">
        <references count="3">
          <reference field="4294967294" count="1" selected="0">
            <x v="0"/>
          </reference>
          <reference field="2" count="1" selected="0">
            <x v="4"/>
          </reference>
          <reference field="3" count="1" selected="0">
            <x v="1"/>
          </reference>
        </references>
      </pivotArea>
    </chartFormat>
    <chartFormat chart="4" format="12" series="1">
      <pivotArea type="data" outline="0" fieldPosition="0">
        <references count="3">
          <reference field="4294967294" count="1" selected="0">
            <x v="0"/>
          </reference>
          <reference field="2" count="1" selected="0">
            <x v="0"/>
          </reference>
          <reference field="3" count="1" selected="0">
            <x v="2"/>
          </reference>
        </references>
      </pivotArea>
    </chartFormat>
    <chartFormat chart="4" format="13" series="1">
      <pivotArea type="data" outline="0" fieldPosition="0">
        <references count="3">
          <reference field="4294967294" count="1" selected="0">
            <x v="0"/>
          </reference>
          <reference field="2" count="1" selected="0">
            <x v="1"/>
          </reference>
          <reference field="3" count="1" selected="0">
            <x v="2"/>
          </reference>
        </references>
      </pivotArea>
    </chartFormat>
    <chartFormat chart="4" format="14" series="1">
      <pivotArea type="data" outline="0" fieldPosition="0">
        <references count="3">
          <reference field="4294967294" count="1" selected="0">
            <x v="0"/>
          </reference>
          <reference field="2" count="1" selected="0">
            <x v="2"/>
          </reference>
          <reference field="3" count="1" selected="0">
            <x v="2"/>
          </reference>
        </references>
      </pivotArea>
    </chartFormat>
    <chartFormat chart="4" format="15" series="1">
      <pivotArea type="data" outline="0" fieldPosition="0">
        <references count="3">
          <reference field="4294967294" count="1" selected="0">
            <x v="0"/>
          </reference>
          <reference field="2" count="1" selected="0">
            <x v="3"/>
          </reference>
          <reference field="3" count="1" selected="0">
            <x v="2"/>
          </reference>
        </references>
      </pivotArea>
    </chartFormat>
    <chartFormat chart="4" format="16" series="1">
      <pivotArea type="data" outline="0" fieldPosition="0">
        <references count="3">
          <reference field="4294967294" count="1" selected="0">
            <x v="0"/>
          </reference>
          <reference field="2" count="1" selected="0">
            <x v="4"/>
          </reference>
          <reference field="3" count="1" selected="0">
            <x v="2"/>
          </reference>
        </references>
      </pivotArea>
    </chartFormat>
    <chartFormat chart="3" format="20" series="1">
      <pivotArea type="data" outline="0" fieldPosition="0">
        <references count="3">
          <reference field="4294967294" count="1" selected="0">
            <x v="0"/>
          </reference>
          <reference field="2" count="1" selected="0">
            <x v="3"/>
          </reference>
          <reference field="3" count="1" selected="0">
            <x v="0"/>
          </reference>
        </references>
      </pivotArea>
    </chartFormat>
    <chartFormat chart="3" format="21" series="1">
      <pivotArea type="data" outline="0" fieldPosition="0">
        <references count="3">
          <reference field="4294967294" count="1" selected="0">
            <x v="0"/>
          </reference>
          <reference field="2" count="1" selected="0">
            <x v="4"/>
          </reference>
          <reference field="3" count="1" selected="0">
            <x v="0"/>
          </reference>
        </references>
      </pivotArea>
    </chartFormat>
    <chartFormat chart="3" format="22" series="1">
      <pivotArea type="data" outline="0" fieldPosition="0">
        <references count="3">
          <reference field="4294967294" count="1" selected="0">
            <x v="0"/>
          </reference>
          <reference field="2" count="1" selected="0">
            <x v="0"/>
          </reference>
          <reference field="3" count="1" selected="0">
            <x v="1"/>
          </reference>
        </references>
      </pivotArea>
    </chartFormat>
    <chartFormat chart="3" format="23" series="1">
      <pivotArea type="data" outline="0" fieldPosition="0">
        <references count="3">
          <reference field="4294967294" count="1" selected="0">
            <x v="0"/>
          </reference>
          <reference field="2" count="1" selected="0">
            <x v="1"/>
          </reference>
          <reference field="3" count="1" selected="0">
            <x v="1"/>
          </reference>
        </references>
      </pivotArea>
    </chartFormat>
    <chartFormat chart="3" format="24" series="1">
      <pivotArea type="data" outline="0" fieldPosition="0">
        <references count="3">
          <reference field="4294967294" count="1" selected="0">
            <x v="0"/>
          </reference>
          <reference field="2" count="1" selected="0">
            <x v="2"/>
          </reference>
          <reference field="3" count="1" selected="0">
            <x v="1"/>
          </reference>
        </references>
      </pivotArea>
    </chartFormat>
    <chartFormat chart="3" format="25" series="1">
      <pivotArea type="data" outline="0" fieldPosition="0">
        <references count="3">
          <reference field="4294967294" count="1" selected="0">
            <x v="0"/>
          </reference>
          <reference field="2" count="1" selected="0">
            <x v="3"/>
          </reference>
          <reference field="3" count="1" selected="0">
            <x v="1"/>
          </reference>
        </references>
      </pivotArea>
    </chartFormat>
    <chartFormat chart="3" format="26" series="1">
      <pivotArea type="data" outline="0" fieldPosition="0">
        <references count="3">
          <reference field="4294967294" count="1" selected="0">
            <x v="0"/>
          </reference>
          <reference field="2" count="1" selected="0">
            <x v="4"/>
          </reference>
          <reference field="3" count="1" selected="0">
            <x v="1"/>
          </reference>
        </references>
      </pivotArea>
    </chartFormat>
    <chartFormat chart="3" format="27" series="1">
      <pivotArea type="data" outline="0" fieldPosition="0">
        <references count="3">
          <reference field="4294967294" count="1" selected="0">
            <x v="0"/>
          </reference>
          <reference field="2" count="1" selected="0">
            <x v="0"/>
          </reference>
          <reference field="3" count="1" selected="0">
            <x v="2"/>
          </reference>
        </references>
      </pivotArea>
    </chartFormat>
    <chartFormat chart="3" format="28" series="1">
      <pivotArea type="data" outline="0" fieldPosition="0">
        <references count="3">
          <reference field="4294967294" count="1" selected="0">
            <x v="0"/>
          </reference>
          <reference field="2" count="1" selected="0">
            <x v="1"/>
          </reference>
          <reference field="3" count="1" selected="0">
            <x v="2"/>
          </reference>
        </references>
      </pivotArea>
    </chartFormat>
    <chartFormat chart="3" format="29" series="1">
      <pivotArea type="data" outline="0" fieldPosition="0">
        <references count="3">
          <reference field="4294967294" count="1" selected="0">
            <x v="0"/>
          </reference>
          <reference field="2" count="1" selected="0">
            <x v="2"/>
          </reference>
          <reference field="3" count="1" selected="0">
            <x v="2"/>
          </reference>
        </references>
      </pivotArea>
    </chartFormat>
    <chartFormat chart="3" format="30" series="1">
      <pivotArea type="data" outline="0" fieldPosition="0">
        <references count="3">
          <reference field="4294967294" count="1" selected="0">
            <x v="0"/>
          </reference>
          <reference field="2" count="1" selected="0">
            <x v="3"/>
          </reference>
          <reference field="3" count="1" selected="0">
            <x v="2"/>
          </reference>
        </references>
      </pivotArea>
    </chartFormat>
    <chartFormat chart="3" format="31" series="1">
      <pivotArea type="data" outline="0" fieldPosition="0">
        <references count="3">
          <reference field="4294967294" count="1" selected="0">
            <x v="0"/>
          </reference>
          <reference field="2" count="1" selected="0">
            <x v="4"/>
          </reference>
          <reference field="3" count="1" selected="0">
            <x v="2"/>
          </reference>
        </references>
      </pivotArea>
    </chartFormat>
    <chartFormat chart="4" format="17" series="1">
      <pivotArea type="data" outline="0" fieldPosition="0">
        <references count="3">
          <reference field="4294967294" count="1" selected="0">
            <x v="0"/>
          </reference>
          <reference field="2" count="1" selected="0">
            <x v="1"/>
          </reference>
          <reference field="3" count="1" selected="0">
            <x v="0"/>
          </reference>
        </references>
      </pivotArea>
    </chartFormat>
    <chartFormat chart="4" format="18" series="1">
      <pivotArea type="data" outline="0" fieldPosition="0">
        <references count="3">
          <reference field="4294967294" count="1" selected="0">
            <x v="0"/>
          </reference>
          <reference field="2" count="1" selected="0">
            <x v="2"/>
          </reference>
          <reference field="3" count="1" selected="0">
            <x v="0"/>
          </reference>
        </references>
      </pivotArea>
    </chartFormat>
    <chartFormat chart="3" format="32" series="1">
      <pivotArea type="data" outline="0" fieldPosition="0">
        <references count="3">
          <reference field="4294967294" count="1" selected="0">
            <x v="0"/>
          </reference>
          <reference field="2" count="1" selected="0">
            <x v="1"/>
          </reference>
          <reference field="3" count="1" selected="0">
            <x v="0"/>
          </reference>
        </references>
      </pivotArea>
    </chartFormat>
    <chartFormat chart="3" format="33" series="1">
      <pivotArea type="data" outline="0" fieldPosition="0">
        <references count="3">
          <reference field="4294967294" count="1" selected="0">
            <x v="0"/>
          </reference>
          <reference field="2" count="1" selected="0">
            <x v="2"/>
          </reference>
          <reference field="3" count="1" selected="0">
            <x v="0"/>
          </reference>
        </references>
      </pivotArea>
    </chartFormat>
    <chartFormat chart="4" format="19" series="1">
      <pivotArea type="data" outline="0" fieldPosition="0">
        <references count="3">
          <reference field="4294967294" count="1" selected="0">
            <x v="0"/>
          </reference>
          <reference field="2" count="1" selected="0">
            <x v="0"/>
          </reference>
          <reference field="3" count="1" selected="0">
            <x v="3"/>
          </reference>
        </references>
      </pivotArea>
    </chartFormat>
    <chartFormat chart="4" format="20" series="1">
      <pivotArea type="data" outline="0" fieldPosition="0">
        <references count="3">
          <reference field="4294967294" count="1" selected="0">
            <x v="0"/>
          </reference>
          <reference field="2" count="1" selected="0">
            <x v="1"/>
          </reference>
          <reference field="3" count="1" selected="0">
            <x v="3"/>
          </reference>
        </references>
      </pivotArea>
    </chartFormat>
    <chartFormat chart="4" format="21" series="1">
      <pivotArea type="data" outline="0" fieldPosition="0">
        <references count="3">
          <reference field="4294967294" count="1" selected="0">
            <x v="0"/>
          </reference>
          <reference field="2" count="1" selected="0">
            <x v="2"/>
          </reference>
          <reference field="3" count="1" selected="0">
            <x v="3"/>
          </reference>
        </references>
      </pivotArea>
    </chartFormat>
    <chartFormat chart="4" format="22" series="1">
      <pivotArea type="data" outline="0" fieldPosition="0">
        <references count="3">
          <reference field="4294967294" count="1" selected="0">
            <x v="0"/>
          </reference>
          <reference field="2" count="1" selected="0">
            <x v="3"/>
          </reference>
          <reference field="3" count="1" selected="0">
            <x v="3"/>
          </reference>
        </references>
      </pivotArea>
    </chartFormat>
    <chartFormat chart="4" format="23" series="1">
      <pivotArea type="data" outline="0" fieldPosition="0">
        <references count="3">
          <reference field="4294967294" count="1" selected="0">
            <x v="0"/>
          </reference>
          <reference field="2" count="1" selected="0">
            <x v="4"/>
          </reference>
          <reference field="3" count="1" selected="0">
            <x v="3"/>
          </reference>
        </references>
      </pivotArea>
    </chartFormat>
    <chartFormat chart="4" format="24" series="1">
      <pivotArea type="data" outline="0" fieldPosition="0">
        <references count="3">
          <reference field="4294967294" count="1" selected="0">
            <x v="0"/>
          </reference>
          <reference field="2" count="1" selected="0">
            <x v="0"/>
          </reference>
          <reference field="3" count="1" selected="0">
            <x v="4"/>
          </reference>
        </references>
      </pivotArea>
    </chartFormat>
    <chartFormat chart="4" format="25" series="1">
      <pivotArea type="data" outline="0" fieldPosition="0">
        <references count="3">
          <reference field="4294967294" count="1" selected="0">
            <x v="0"/>
          </reference>
          <reference field="2" count="1" selected="0">
            <x v="1"/>
          </reference>
          <reference field="3" count="1" selected="0">
            <x v="4"/>
          </reference>
        </references>
      </pivotArea>
    </chartFormat>
    <chartFormat chart="4" format="26" series="1">
      <pivotArea type="data" outline="0" fieldPosition="0">
        <references count="3">
          <reference field="4294967294" count="1" selected="0">
            <x v="0"/>
          </reference>
          <reference field="2" count="1" selected="0">
            <x v="2"/>
          </reference>
          <reference field="3" count="1" selected="0">
            <x v="4"/>
          </reference>
        </references>
      </pivotArea>
    </chartFormat>
    <chartFormat chart="4" format="27" series="1">
      <pivotArea type="data" outline="0" fieldPosition="0">
        <references count="3">
          <reference field="4294967294" count="1" selected="0">
            <x v="0"/>
          </reference>
          <reference field="2" count="1" selected="0">
            <x v="3"/>
          </reference>
          <reference field="3" count="1" selected="0">
            <x v="4"/>
          </reference>
        </references>
      </pivotArea>
    </chartFormat>
    <chartFormat chart="4" format="28" series="1">
      <pivotArea type="data" outline="0" fieldPosition="0">
        <references count="3">
          <reference field="4294967294" count="1" selected="0">
            <x v="0"/>
          </reference>
          <reference field="2" count="1" selected="0">
            <x v="4"/>
          </reference>
          <reference field="3" count="1" selected="0">
            <x v="4"/>
          </reference>
        </references>
      </pivotArea>
    </chartFormat>
    <chartFormat chart="3" format="34" series="1">
      <pivotArea type="data" outline="0" fieldPosition="0">
        <references count="3">
          <reference field="4294967294" count="1" selected="0">
            <x v="0"/>
          </reference>
          <reference field="2" count="1" selected="0">
            <x v="0"/>
          </reference>
          <reference field="3" count="1" selected="0">
            <x v="3"/>
          </reference>
        </references>
      </pivotArea>
    </chartFormat>
    <chartFormat chart="3" format="35" series="1">
      <pivotArea type="data" outline="0" fieldPosition="0">
        <references count="3">
          <reference field="4294967294" count="1" selected="0">
            <x v="0"/>
          </reference>
          <reference field="2" count="1" selected="0">
            <x v="1"/>
          </reference>
          <reference field="3" count="1" selected="0">
            <x v="3"/>
          </reference>
        </references>
      </pivotArea>
    </chartFormat>
    <chartFormat chart="3" format="36" series="1">
      <pivotArea type="data" outline="0" fieldPosition="0">
        <references count="3">
          <reference field="4294967294" count="1" selected="0">
            <x v="0"/>
          </reference>
          <reference field="2" count="1" selected="0">
            <x v="2"/>
          </reference>
          <reference field="3" count="1" selected="0">
            <x v="3"/>
          </reference>
        </references>
      </pivotArea>
    </chartFormat>
    <chartFormat chart="3" format="37" series="1">
      <pivotArea type="data" outline="0" fieldPosition="0">
        <references count="3">
          <reference field="4294967294" count="1" selected="0">
            <x v="0"/>
          </reference>
          <reference field="2" count="1" selected="0">
            <x v="3"/>
          </reference>
          <reference field="3" count="1" selected="0">
            <x v="3"/>
          </reference>
        </references>
      </pivotArea>
    </chartFormat>
    <chartFormat chart="3" format="38" series="1">
      <pivotArea type="data" outline="0" fieldPosition="0">
        <references count="3">
          <reference field="4294967294" count="1" selected="0">
            <x v="0"/>
          </reference>
          <reference field="2" count="1" selected="0">
            <x v="4"/>
          </reference>
          <reference field="3" count="1" selected="0">
            <x v="3"/>
          </reference>
        </references>
      </pivotArea>
    </chartFormat>
    <chartFormat chart="3" format="39" series="1">
      <pivotArea type="data" outline="0" fieldPosition="0">
        <references count="3">
          <reference field="4294967294" count="1" selected="0">
            <x v="0"/>
          </reference>
          <reference field="2" count="1" selected="0">
            <x v="0"/>
          </reference>
          <reference field="3" count="1" selected="0">
            <x v="4"/>
          </reference>
        </references>
      </pivotArea>
    </chartFormat>
    <chartFormat chart="3" format="40" series="1">
      <pivotArea type="data" outline="0" fieldPosition="0">
        <references count="3">
          <reference field="4294967294" count="1" selected="0">
            <x v="0"/>
          </reference>
          <reference field="2" count="1" selected="0">
            <x v="1"/>
          </reference>
          <reference field="3" count="1" selected="0">
            <x v="4"/>
          </reference>
        </references>
      </pivotArea>
    </chartFormat>
    <chartFormat chart="3" format="41" series="1">
      <pivotArea type="data" outline="0" fieldPosition="0">
        <references count="3">
          <reference field="4294967294" count="1" selected="0">
            <x v="0"/>
          </reference>
          <reference field="2" count="1" selected="0">
            <x v="2"/>
          </reference>
          <reference field="3" count="1" selected="0">
            <x v="4"/>
          </reference>
        </references>
      </pivotArea>
    </chartFormat>
    <chartFormat chart="3" format="42" series="1">
      <pivotArea type="data" outline="0" fieldPosition="0">
        <references count="3">
          <reference field="4294967294" count="1" selected="0">
            <x v="0"/>
          </reference>
          <reference field="2" count="1" selected="0">
            <x v="3"/>
          </reference>
          <reference field="3" count="1" selected="0">
            <x v="4"/>
          </reference>
        </references>
      </pivotArea>
    </chartFormat>
    <chartFormat chart="3" format="43" series="1">
      <pivotArea type="data" outline="0" fieldPosition="0">
        <references count="3">
          <reference field="4294967294" count="1" selected="0">
            <x v="0"/>
          </reference>
          <reference field="2" count="1" selected="0">
            <x v="4"/>
          </reference>
          <reference field="3" count="1" selected="0">
            <x v="4"/>
          </reference>
        </references>
      </pivotArea>
    </chartFormat>
    <chartFormat chart="4" format="29" series="1">
      <pivotArea type="data" outline="0" fieldPosition="0">
        <references count="1">
          <reference field="4294967294" count="1" selected="0">
            <x v="0"/>
          </reference>
        </references>
      </pivotArea>
    </chartFormat>
    <chartFormat chart="4" format="201" series="1">
      <pivotArea type="data" outline="0" fieldPosition="0">
        <references count="2">
          <reference field="4294967294" count="1" selected="0">
            <x v="0"/>
          </reference>
          <reference field="2" count="1" selected="0">
            <x v="1"/>
          </reference>
        </references>
      </pivotArea>
    </chartFormat>
    <chartFormat chart="4" format="202" series="1">
      <pivotArea type="data" outline="0" fieldPosition="0">
        <references count="2">
          <reference field="4294967294" count="1" selected="0">
            <x v="0"/>
          </reference>
          <reference field="2" count="1" selected="0">
            <x v="2"/>
          </reference>
        </references>
      </pivotArea>
    </chartFormat>
    <chartFormat chart="4" format="203" series="1">
      <pivotArea type="data" outline="0" fieldPosition="0">
        <references count="2">
          <reference field="4294967294" count="1" selected="0">
            <x v="0"/>
          </reference>
          <reference field="2" count="1" selected="0">
            <x v="3"/>
          </reference>
        </references>
      </pivotArea>
    </chartFormat>
    <chartFormat chart="4" format="204" series="1">
      <pivotArea type="data" outline="0" fieldPosition="0">
        <references count="2">
          <reference field="4294967294" count="1" selected="0">
            <x v="0"/>
          </reference>
          <reference field="2" count="1" selected="0">
            <x v="4"/>
          </reference>
        </references>
      </pivotArea>
    </chartFormat>
    <chartFormat chart="3" format="215" series="1">
      <pivotArea type="data" outline="0" fieldPosition="0">
        <references count="2">
          <reference field="4294967294" count="1" selected="0">
            <x v="0"/>
          </reference>
          <reference field="2" count="1" selected="0">
            <x v="1"/>
          </reference>
        </references>
      </pivotArea>
    </chartFormat>
    <chartFormat chart="3" format="216" series="1">
      <pivotArea type="data" outline="0" fieldPosition="0">
        <references count="2">
          <reference field="4294967294" count="1" selected="0">
            <x v="0"/>
          </reference>
          <reference field="2" count="1" selected="0">
            <x v="2"/>
          </reference>
        </references>
      </pivotArea>
    </chartFormat>
    <chartFormat chart="3" format="217" series="1">
      <pivotArea type="data" outline="0" fieldPosition="0">
        <references count="2">
          <reference field="4294967294" count="1" selected="0">
            <x v="0"/>
          </reference>
          <reference field="2" count="1" selected="0">
            <x v="3"/>
          </reference>
        </references>
      </pivotArea>
    </chartFormat>
    <chartFormat chart="3" format="218" series="1">
      <pivotArea type="data" outline="0" fieldPosition="0">
        <references count="2">
          <reference field="4294967294" count="1" selected="0">
            <x v="0"/>
          </reference>
          <reference field="2" count="1" selected="0">
            <x v="4"/>
          </reference>
        </references>
      </pivotArea>
    </chartFormat>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2"/>
          </reference>
        </references>
      </pivotArea>
    </chartFormat>
    <chartFormat chart="5" format="2" series="1">
      <pivotArea type="data" outline="0" fieldPosition="0">
        <references count="2">
          <reference field="4294967294" count="1" selected="0">
            <x v="0"/>
          </reference>
          <reference field="2" count="1" selected="0">
            <x v="3"/>
          </reference>
        </references>
      </pivotArea>
    </chartFormat>
    <chartFormat chart="5" format="3" series="1">
      <pivotArea type="data" outline="0" fieldPosition="0">
        <references count="2">
          <reference field="4294967294" count="1" selected="0">
            <x v="0"/>
          </reference>
          <reference field="2" count="1" selected="0">
            <x v="4"/>
          </reference>
        </references>
      </pivotArea>
    </chartFormat>
    <chartFormat chart="5" format="4" series="1">
      <pivotArea type="data" outline="0" fieldPosition="0">
        <references count="2">
          <reference field="4294967294" count="1" selected="0">
            <x v="0"/>
          </reference>
          <reference field="2" count="1" selected="0">
            <x v="1"/>
          </reference>
        </references>
      </pivotArea>
    </chartFormat>
    <chartFormat chart="5" format="5" series="1">
      <pivotArea type="data" outline="0" fieldPosition="0">
        <references count="1">
          <reference field="4294967294" count="1" selected="0">
            <x v="0"/>
          </reference>
        </references>
      </pivotArea>
    </chartFormat>
    <chartFormat chart="3" format="219" series="1">
      <pivotArea type="data" outline="0" fieldPosition="0">
        <references count="2">
          <reference field="4294967294" count="1" selected="0">
            <x v="0"/>
          </reference>
          <reference field="2" count="1" selected="0">
            <x v="0"/>
          </reference>
        </references>
      </pivotArea>
    </chartFormat>
    <chartFormat chart="4" format="205" series="1">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3">
          <reference field="4294967294" count="1" selected="0">
            <x v="0"/>
          </reference>
          <reference field="2" count="1" selected="0">
            <x v="0"/>
          </reference>
          <reference field="3" count="1" selected="0">
            <x v="0"/>
          </reference>
        </references>
      </pivotArea>
    </chartFormat>
    <chartFormat chart="5" format="7">
      <pivotArea type="data" outline="0" fieldPosition="0">
        <references count="3">
          <reference field="4294967294" count="1" selected="0">
            <x v="0"/>
          </reference>
          <reference field="2" count="1" selected="0">
            <x v="0"/>
          </reference>
          <reference field="3" count="1" selected="0">
            <x v="1"/>
          </reference>
        </references>
      </pivotArea>
    </chartFormat>
    <chartFormat chart="5" format="8">
      <pivotArea type="data" outline="0" fieldPosition="0">
        <references count="3">
          <reference field="4294967294" count="1" selected="0">
            <x v="0"/>
          </reference>
          <reference field="2" count="1" selected="0">
            <x v="0"/>
          </reference>
          <reference field="3" count="1" selected="0">
            <x v="2"/>
          </reference>
        </references>
      </pivotArea>
    </chartFormat>
    <chartFormat chart="5" format="9">
      <pivotArea type="data" outline="0" fieldPosition="0">
        <references count="3">
          <reference field="4294967294" count="1" selected="0">
            <x v="0"/>
          </reference>
          <reference field="2" count="1" selected="0">
            <x v="0"/>
          </reference>
          <reference field="3" count="1" selected="0">
            <x v="4"/>
          </reference>
        </references>
      </pivotArea>
    </chartFormat>
    <chartFormat chart="5" format="10">
      <pivotArea type="data" outline="0" fieldPosition="0">
        <references count="3">
          <reference field="4294967294" count="1" selected="0">
            <x v="0"/>
          </reference>
          <reference field="2" count="1" selected="0">
            <x v="1"/>
          </reference>
          <reference field="3" count="1" selected="0">
            <x v="0"/>
          </reference>
        </references>
      </pivotArea>
    </chartFormat>
    <chartFormat chart="5" format="11">
      <pivotArea type="data" outline="0" fieldPosition="0">
        <references count="3">
          <reference field="4294967294" count="1" selected="0">
            <x v="0"/>
          </reference>
          <reference field="2" count="1" selected="0">
            <x v="1"/>
          </reference>
          <reference field="3" count="1" selected="0">
            <x v="1"/>
          </reference>
        </references>
      </pivotArea>
    </chartFormat>
    <chartFormat chart="5" format="12">
      <pivotArea type="data" outline="0" fieldPosition="0">
        <references count="3">
          <reference field="4294967294" count="1" selected="0">
            <x v="0"/>
          </reference>
          <reference field="2" count="1" selected="0">
            <x v="1"/>
          </reference>
          <reference field="3" count="1" selected="0">
            <x v="2"/>
          </reference>
        </references>
      </pivotArea>
    </chartFormat>
    <chartFormat chart="5" format="13">
      <pivotArea type="data" outline="0" fieldPosition="0">
        <references count="3">
          <reference field="4294967294" count="1" selected="0">
            <x v="0"/>
          </reference>
          <reference field="2" count="1" selected="0">
            <x v="1"/>
          </reference>
          <reference field="3" count="1" selected="0">
            <x v="4"/>
          </reference>
        </references>
      </pivotArea>
    </chartFormat>
    <chartFormat chart="5" format="14">
      <pivotArea type="data" outline="0" fieldPosition="0">
        <references count="3">
          <reference field="4294967294" count="1" selected="0">
            <x v="0"/>
          </reference>
          <reference field="2" count="1" selected="0">
            <x v="2"/>
          </reference>
          <reference field="3" count="1" selected="0">
            <x v="0"/>
          </reference>
        </references>
      </pivotArea>
    </chartFormat>
    <chartFormat chart="5" format="15">
      <pivotArea type="data" outline="0" fieldPosition="0">
        <references count="3">
          <reference field="4294967294" count="1" selected="0">
            <x v="0"/>
          </reference>
          <reference field="2" count="1" selected="0">
            <x v="2"/>
          </reference>
          <reference field="3" count="1" selected="0">
            <x v="1"/>
          </reference>
        </references>
      </pivotArea>
    </chartFormat>
    <chartFormat chart="5" format="16">
      <pivotArea type="data" outline="0" fieldPosition="0">
        <references count="3">
          <reference field="4294967294" count="1" selected="0">
            <x v="0"/>
          </reference>
          <reference field="2" count="1" selected="0">
            <x v="2"/>
          </reference>
          <reference field="3" count="1" selected="0">
            <x v="2"/>
          </reference>
        </references>
      </pivotArea>
    </chartFormat>
    <chartFormat chart="5" format="17">
      <pivotArea type="data" outline="0" fieldPosition="0">
        <references count="3">
          <reference field="4294967294" count="1" selected="0">
            <x v="0"/>
          </reference>
          <reference field="2" count="1" selected="0">
            <x v="2"/>
          </reference>
          <reference field="3" count="1" selected="0">
            <x v="4"/>
          </reference>
        </references>
      </pivotArea>
    </chartFormat>
    <chartFormat chart="5" format="18">
      <pivotArea type="data" outline="0" fieldPosition="0">
        <references count="3">
          <reference field="4294967294" count="1" selected="0">
            <x v="0"/>
          </reference>
          <reference field="2" count="1" selected="0">
            <x v="3"/>
          </reference>
          <reference field="3" count="1" selected="0">
            <x v="0"/>
          </reference>
        </references>
      </pivotArea>
    </chartFormat>
    <chartFormat chart="5" format="19">
      <pivotArea type="data" outline="0" fieldPosition="0">
        <references count="3">
          <reference field="4294967294" count="1" selected="0">
            <x v="0"/>
          </reference>
          <reference field="2" count="1" selected="0">
            <x v="3"/>
          </reference>
          <reference field="3" count="1" selected="0">
            <x v="1"/>
          </reference>
        </references>
      </pivotArea>
    </chartFormat>
    <chartFormat chart="5" format="20">
      <pivotArea type="data" outline="0" fieldPosition="0">
        <references count="3">
          <reference field="4294967294" count="1" selected="0">
            <x v="0"/>
          </reference>
          <reference field="2" count="1" selected="0">
            <x v="3"/>
          </reference>
          <reference field="3" count="1" selected="0">
            <x v="2"/>
          </reference>
        </references>
      </pivotArea>
    </chartFormat>
    <chartFormat chart="5" format="21">
      <pivotArea type="data" outline="0" fieldPosition="0">
        <references count="3">
          <reference field="4294967294" count="1" selected="0">
            <x v="0"/>
          </reference>
          <reference field="2" count="1" selected="0">
            <x v="3"/>
          </reference>
          <reference field="3" count="1" selected="0">
            <x v="4"/>
          </reference>
        </references>
      </pivotArea>
    </chartFormat>
    <chartFormat chart="5" format="22">
      <pivotArea type="data" outline="0" fieldPosition="0">
        <references count="3">
          <reference field="4294967294" count="1" selected="0">
            <x v="0"/>
          </reference>
          <reference field="2" count="1" selected="0">
            <x v="4"/>
          </reference>
          <reference field="3" count="1" selected="0">
            <x v="0"/>
          </reference>
        </references>
      </pivotArea>
    </chartFormat>
    <chartFormat chart="5" format="23">
      <pivotArea type="data" outline="0" fieldPosition="0">
        <references count="3">
          <reference field="4294967294" count="1" selected="0">
            <x v="0"/>
          </reference>
          <reference field="2" count="1" selected="0">
            <x v="4"/>
          </reference>
          <reference field="3" count="1" selected="0">
            <x v="1"/>
          </reference>
        </references>
      </pivotArea>
    </chartFormat>
    <chartFormat chart="5" format="24">
      <pivotArea type="data" outline="0" fieldPosition="0">
        <references count="3">
          <reference field="4294967294" count="1" selected="0">
            <x v="0"/>
          </reference>
          <reference field="2" count="1" selected="0">
            <x v="4"/>
          </reference>
          <reference field="3" count="1" selected="0">
            <x v="2"/>
          </reference>
        </references>
      </pivotArea>
    </chartFormat>
    <chartFormat chart="5" format="25">
      <pivotArea type="data" outline="0" fieldPosition="0">
        <references count="3">
          <reference field="4294967294" count="1" selected="0">
            <x v="0"/>
          </reference>
          <reference field="2" count="1" selected="0">
            <x v="4"/>
          </reference>
          <reference field="3" count="1" selected="0">
            <x v="4"/>
          </reference>
        </references>
      </pivotArea>
    </chartFormat>
    <chartFormat chart="8" format="211" series="1">
      <pivotArea type="data" outline="0" fieldPosition="0">
        <references count="2">
          <reference field="4294967294" count="1" selected="0">
            <x v="0"/>
          </reference>
          <reference field="2" count="1" selected="0">
            <x v="0"/>
          </reference>
        </references>
      </pivotArea>
    </chartFormat>
    <chartFormat chart="8" format="212" series="1">
      <pivotArea type="data" outline="0" fieldPosition="0">
        <references count="2">
          <reference field="4294967294" count="1" selected="0">
            <x v="0"/>
          </reference>
          <reference field="2" count="1" selected="0">
            <x v="1"/>
          </reference>
        </references>
      </pivotArea>
    </chartFormat>
    <chartFormat chart="8" format="213" series="1">
      <pivotArea type="data" outline="0" fieldPosition="0">
        <references count="2">
          <reference field="4294967294" count="1" selected="0">
            <x v="0"/>
          </reference>
          <reference field="2" count="1" selected="0">
            <x v="2"/>
          </reference>
        </references>
      </pivotArea>
    </chartFormat>
    <chartFormat chart="8" format="214" series="1">
      <pivotArea type="data" outline="0" fieldPosition="0">
        <references count="2">
          <reference field="4294967294" count="1" selected="0">
            <x v="0"/>
          </reference>
          <reference field="2" count="1" selected="0">
            <x v="3"/>
          </reference>
        </references>
      </pivotArea>
    </chartFormat>
    <chartFormat chart="8" format="215" series="1">
      <pivotArea type="data" outline="0" fieldPosition="0">
        <references count="2">
          <reference field="4294967294" count="1" selected="0">
            <x v="0"/>
          </reference>
          <reference field="2" count="1" selected="0">
            <x v="4"/>
          </reference>
        </references>
      </pivotArea>
    </chartFormat>
    <chartFormat chart="11" format="225" series="1">
      <pivotArea type="data" outline="0" fieldPosition="0">
        <references count="2">
          <reference field="4294967294" count="1" selected="0">
            <x v="0"/>
          </reference>
          <reference field="2" count="1" selected="0">
            <x v="0"/>
          </reference>
        </references>
      </pivotArea>
    </chartFormat>
    <chartFormat chart="11" format="226" series="1">
      <pivotArea type="data" outline="0" fieldPosition="0">
        <references count="2">
          <reference field="4294967294" count="1" selected="0">
            <x v="0"/>
          </reference>
          <reference field="2" count="1" selected="0">
            <x v="1"/>
          </reference>
        </references>
      </pivotArea>
    </chartFormat>
    <chartFormat chart="11" format="227" series="1">
      <pivotArea type="data" outline="0" fieldPosition="0">
        <references count="2">
          <reference field="4294967294" count="1" selected="0">
            <x v="0"/>
          </reference>
          <reference field="2" count="1" selected="0">
            <x v="2"/>
          </reference>
        </references>
      </pivotArea>
    </chartFormat>
    <chartFormat chart="11" format="228" series="1">
      <pivotArea type="data" outline="0" fieldPosition="0">
        <references count="2">
          <reference field="4294967294" count="1" selected="0">
            <x v="0"/>
          </reference>
          <reference field="2" count="1" selected="0">
            <x v="3"/>
          </reference>
        </references>
      </pivotArea>
    </chartFormat>
    <chartFormat chart="11" format="229" series="1">
      <pivotArea type="data" outline="0" fieldPosition="0">
        <references count="2">
          <reference field="4294967294" count="1" selected="0">
            <x v="0"/>
          </reference>
          <reference field="2" count="1" selected="0">
            <x v="4"/>
          </reference>
        </references>
      </pivotArea>
    </chartFormat>
    <chartFormat chart="14" format="51" series="1">
      <pivotArea type="data" outline="0" fieldPosition="0">
        <references count="2">
          <reference field="4294967294" count="1" selected="0">
            <x v="0"/>
          </reference>
          <reference field="2" count="1" selected="0">
            <x v="0"/>
          </reference>
        </references>
      </pivotArea>
    </chartFormat>
    <chartFormat chart="14" format="52">
      <pivotArea type="data" outline="0" fieldPosition="0">
        <references count="3">
          <reference field="4294967294" count="1" selected="0">
            <x v="0"/>
          </reference>
          <reference field="2" count="1" selected="0">
            <x v="0"/>
          </reference>
          <reference field="3" count="1" selected="0">
            <x v="0"/>
          </reference>
        </references>
      </pivotArea>
    </chartFormat>
    <chartFormat chart="14" format="53">
      <pivotArea type="data" outline="0" fieldPosition="0">
        <references count="3">
          <reference field="4294967294" count="1" selected="0">
            <x v="0"/>
          </reference>
          <reference field="2" count="1" selected="0">
            <x v="0"/>
          </reference>
          <reference field="3" count="1" selected="0">
            <x v="1"/>
          </reference>
        </references>
      </pivotArea>
    </chartFormat>
    <chartFormat chart="14" format="54">
      <pivotArea type="data" outline="0" fieldPosition="0">
        <references count="3">
          <reference field="4294967294" count="1" selected="0">
            <x v="0"/>
          </reference>
          <reference field="2" count="1" selected="0">
            <x v="0"/>
          </reference>
          <reference field="3" count="1" selected="0">
            <x v="2"/>
          </reference>
        </references>
      </pivotArea>
    </chartFormat>
    <chartFormat chart="14" format="55">
      <pivotArea type="data" outline="0" fieldPosition="0">
        <references count="3">
          <reference field="4294967294" count="1" selected="0">
            <x v="0"/>
          </reference>
          <reference field="2" count="1" selected="0">
            <x v="0"/>
          </reference>
          <reference field="3" count="1" selected="0">
            <x v="4"/>
          </reference>
        </references>
      </pivotArea>
    </chartFormat>
    <chartFormat chart="14" format="56" series="1">
      <pivotArea type="data" outline="0" fieldPosition="0">
        <references count="2">
          <reference field="4294967294" count="1" selected="0">
            <x v="0"/>
          </reference>
          <reference field="2" count="1" selected="0">
            <x v="1"/>
          </reference>
        </references>
      </pivotArea>
    </chartFormat>
    <chartFormat chart="14" format="57">
      <pivotArea type="data" outline="0" fieldPosition="0">
        <references count="3">
          <reference field="4294967294" count="1" selected="0">
            <x v="0"/>
          </reference>
          <reference field="2" count="1" selected="0">
            <x v="1"/>
          </reference>
          <reference field="3" count="1" selected="0">
            <x v="0"/>
          </reference>
        </references>
      </pivotArea>
    </chartFormat>
    <chartFormat chart="14" format="58">
      <pivotArea type="data" outline="0" fieldPosition="0">
        <references count="3">
          <reference field="4294967294" count="1" selected="0">
            <x v="0"/>
          </reference>
          <reference field="2" count="1" selected="0">
            <x v="1"/>
          </reference>
          <reference field="3" count="1" selected="0">
            <x v="1"/>
          </reference>
        </references>
      </pivotArea>
    </chartFormat>
    <chartFormat chart="14" format="59">
      <pivotArea type="data" outline="0" fieldPosition="0">
        <references count="3">
          <reference field="4294967294" count="1" selected="0">
            <x v="0"/>
          </reference>
          <reference field="2" count="1" selected="0">
            <x v="1"/>
          </reference>
          <reference field="3" count="1" selected="0">
            <x v="2"/>
          </reference>
        </references>
      </pivotArea>
    </chartFormat>
    <chartFormat chart="14" format="60">
      <pivotArea type="data" outline="0" fieldPosition="0">
        <references count="3">
          <reference field="4294967294" count="1" selected="0">
            <x v="0"/>
          </reference>
          <reference field="2" count="1" selected="0">
            <x v="1"/>
          </reference>
          <reference field="3" count="1" selected="0">
            <x v="4"/>
          </reference>
        </references>
      </pivotArea>
    </chartFormat>
    <chartFormat chart="14" format="61" series="1">
      <pivotArea type="data" outline="0" fieldPosition="0">
        <references count="2">
          <reference field="4294967294" count="1" selected="0">
            <x v="0"/>
          </reference>
          <reference field="2" count="1" selected="0">
            <x v="2"/>
          </reference>
        </references>
      </pivotArea>
    </chartFormat>
    <chartFormat chart="14" format="62">
      <pivotArea type="data" outline="0" fieldPosition="0">
        <references count="3">
          <reference field="4294967294" count="1" selected="0">
            <x v="0"/>
          </reference>
          <reference field="2" count="1" selected="0">
            <x v="2"/>
          </reference>
          <reference field="3" count="1" selected="0">
            <x v="0"/>
          </reference>
        </references>
      </pivotArea>
    </chartFormat>
    <chartFormat chart="14" format="63">
      <pivotArea type="data" outline="0" fieldPosition="0">
        <references count="3">
          <reference field="4294967294" count="1" selected="0">
            <x v="0"/>
          </reference>
          <reference field="2" count="1" selected="0">
            <x v="2"/>
          </reference>
          <reference field="3" count="1" selected="0">
            <x v="1"/>
          </reference>
        </references>
      </pivotArea>
    </chartFormat>
    <chartFormat chart="14" format="64">
      <pivotArea type="data" outline="0" fieldPosition="0">
        <references count="3">
          <reference field="4294967294" count="1" selected="0">
            <x v="0"/>
          </reference>
          <reference field="2" count="1" selected="0">
            <x v="2"/>
          </reference>
          <reference field="3" count="1" selected="0">
            <x v="2"/>
          </reference>
        </references>
      </pivotArea>
    </chartFormat>
    <chartFormat chart="14" format="65">
      <pivotArea type="data" outline="0" fieldPosition="0">
        <references count="3">
          <reference field="4294967294" count="1" selected="0">
            <x v="0"/>
          </reference>
          <reference field="2" count="1" selected="0">
            <x v="2"/>
          </reference>
          <reference field="3" count="1" selected="0">
            <x v="4"/>
          </reference>
        </references>
      </pivotArea>
    </chartFormat>
    <chartFormat chart="14" format="66" series="1">
      <pivotArea type="data" outline="0" fieldPosition="0">
        <references count="2">
          <reference field="4294967294" count="1" selected="0">
            <x v="0"/>
          </reference>
          <reference field="2" count="1" selected="0">
            <x v="3"/>
          </reference>
        </references>
      </pivotArea>
    </chartFormat>
    <chartFormat chart="14" format="67">
      <pivotArea type="data" outline="0" fieldPosition="0">
        <references count="3">
          <reference field="4294967294" count="1" selected="0">
            <x v="0"/>
          </reference>
          <reference field="2" count="1" selected="0">
            <x v="3"/>
          </reference>
          <reference field="3" count="1" selected="0">
            <x v="0"/>
          </reference>
        </references>
      </pivotArea>
    </chartFormat>
    <chartFormat chart="14" format="68">
      <pivotArea type="data" outline="0" fieldPosition="0">
        <references count="3">
          <reference field="4294967294" count="1" selected="0">
            <x v="0"/>
          </reference>
          <reference field="2" count="1" selected="0">
            <x v="3"/>
          </reference>
          <reference field="3" count="1" selected="0">
            <x v="1"/>
          </reference>
        </references>
      </pivotArea>
    </chartFormat>
    <chartFormat chart="14" format="69">
      <pivotArea type="data" outline="0" fieldPosition="0">
        <references count="3">
          <reference field="4294967294" count="1" selected="0">
            <x v="0"/>
          </reference>
          <reference field="2" count="1" selected="0">
            <x v="3"/>
          </reference>
          <reference field="3" count="1" selected="0">
            <x v="2"/>
          </reference>
        </references>
      </pivotArea>
    </chartFormat>
    <chartFormat chart="14" format="70">
      <pivotArea type="data" outline="0" fieldPosition="0">
        <references count="3">
          <reference field="4294967294" count="1" selected="0">
            <x v="0"/>
          </reference>
          <reference field="2" count="1" selected="0">
            <x v="3"/>
          </reference>
          <reference field="3" count="1" selected="0">
            <x v="4"/>
          </reference>
        </references>
      </pivotArea>
    </chartFormat>
    <chartFormat chart="14" format="71" series="1">
      <pivotArea type="data" outline="0" fieldPosition="0">
        <references count="2">
          <reference field="4294967294" count="1" selected="0">
            <x v="0"/>
          </reference>
          <reference field="2" count="1" selected="0">
            <x v="4"/>
          </reference>
        </references>
      </pivotArea>
    </chartFormat>
    <chartFormat chart="14" format="72">
      <pivotArea type="data" outline="0" fieldPosition="0">
        <references count="3">
          <reference field="4294967294" count="1" selected="0">
            <x v="0"/>
          </reference>
          <reference field="2" count="1" selected="0">
            <x v="4"/>
          </reference>
          <reference field="3" count="1" selected="0">
            <x v="0"/>
          </reference>
        </references>
      </pivotArea>
    </chartFormat>
    <chartFormat chart="14" format="73">
      <pivotArea type="data" outline="0" fieldPosition="0">
        <references count="3">
          <reference field="4294967294" count="1" selected="0">
            <x v="0"/>
          </reference>
          <reference field="2" count="1" selected="0">
            <x v="4"/>
          </reference>
          <reference field="3" count="1" selected="0">
            <x v="1"/>
          </reference>
        </references>
      </pivotArea>
    </chartFormat>
    <chartFormat chart="14" format="74">
      <pivotArea type="data" outline="0" fieldPosition="0">
        <references count="3">
          <reference field="4294967294" count="1" selected="0">
            <x v="0"/>
          </reference>
          <reference field="2" count="1" selected="0">
            <x v="4"/>
          </reference>
          <reference field="3" count="1" selected="0">
            <x v="2"/>
          </reference>
        </references>
      </pivotArea>
    </chartFormat>
    <chartFormat chart="14" format="75">
      <pivotArea type="data" outline="0" fieldPosition="0">
        <references count="3">
          <reference field="4294967294" count="1" selected="0">
            <x v="0"/>
          </reference>
          <reference field="2" count="1" selected="0">
            <x v="4"/>
          </reference>
          <reference field="3" count="1" selected="0">
            <x v="4"/>
          </reference>
        </references>
      </pivotArea>
    </chartFormat>
    <chartFormat chart="14" format="76" series="1">
      <pivotArea type="data" outline="0" fieldPosition="0">
        <references count="1">
          <reference field="4294967294" count="1" selected="0">
            <x v="0"/>
          </reference>
        </references>
      </pivotArea>
    </chartFormat>
    <chartFormat chart="11" format="230" series="1">
      <pivotArea type="data" outline="0" fieldPosition="0">
        <references count="1">
          <reference field="4294967294" count="1" selected="0">
            <x v="0"/>
          </reference>
        </references>
      </pivotArea>
    </chartFormat>
    <chartFormat chart="8" format="2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629AD2-1147-4C9D-9125-5B9D2B42ADD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G21" firstHeaderRow="1" firstDataRow="1" firstDataCol="1"/>
  <pivotFields count="2">
    <pivotField axis="axisRow" showAll="0">
      <items count="13">
        <item x="9"/>
        <item x="10"/>
        <item x="11"/>
        <item x="0"/>
        <item x="1"/>
        <item x="2"/>
        <item x="3"/>
        <item x="4"/>
        <item x="5"/>
        <item x="6"/>
        <item x="7"/>
        <item x="8"/>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onditionalFormats count="1">
    <conditionalFormat priority="3">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19B18F-A748-4EB8-B5E7-6983439B9461}" sourceName="Region">
  <pivotTables>
    <pivotTable tabId="6" name="PivotTable5"/>
  </pivotTables>
  <data>
    <tabular pivotCacheId="1679996031">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8921107-6549-449A-BB86-93E9E567E879}" sourceName="Product_Category">
  <pivotTables>
    <pivotTable tabId="6" name="PivotTable5"/>
  </pivotTables>
  <data>
    <tabular pivotCacheId="1679996031">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AEEC160-4531-4F3A-B8E8-43E0497CC3E8}" sourceName="Years (Order_Date)">
  <pivotTables>
    <pivotTable tabId="6" name="PivotTable5"/>
  </pivotTables>
  <data>
    <tabular pivotCacheId="1679996031">
      <items count="4">
        <i x="1" s="1"/>
        <i x="2" s="1"/>
        <i x="0"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EB85E894-7E56-47D8-B94A-B96EBBEC757A}" sourceName="Months (Order_Date)">
  <pivotTables>
    <pivotTable tabId="6" name="PivotTable5"/>
  </pivotTables>
  <data>
    <tabular pivotCacheId="167999603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3080DF3-66A7-4EFB-BEF1-6DE22E95DECA}" cache="Slicer_Region" caption="Region" style="SlicerStyleDark1" rowHeight="241300"/>
  <slicer name="Product_Category" xr10:uid="{E8B97C99-BC65-463B-B2D0-28D14020FB81}" cache="Slicer_Product_Category" caption="Product_Category" style="SlicerStyleDark1" rowHeight="241300"/>
  <slicer name="Years (Order_Date)" xr10:uid="{8B3C2AEC-56A5-411D-A251-61E9C8E175D2}" cache="Slicer_Years__Order_Date" caption="Years (Order_Date)" style="SlicerStyleDark1" rowHeight="241300"/>
  <slicer name="Months (Order_Date)" xr10:uid="{E84697D7-56BA-4D26-904A-C2699A082E63}" cache="Slicer_Months__Order_Date" caption="Months (Order_Date)" style="SlicerStyleDark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47"/>
  <sheetViews>
    <sheetView workbookViewId="0">
      <selection activeCell="E7" sqref="E7"/>
    </sheetView>
  </sheetViews>
  <sheetFormatPr defaultColWidth="14.42578125" defaultRowHeight="15" customHeight="1" x14ac:dyDescent="0.25"/>
  <cols>
    <col min="1" max="1" width="74.85546875" customWidth="1"/>
    <col min="2" max="26" width="8.7109375" customWidth="1"/>
  </cols>
  <sheetData>
    <row r="1" spans="1:26" x14ac:dyDescent="0.25">
      <c r="A1" s="6" t="s">
        <v>0</v>
      </c>
      <c r="B1" s="1"/>
      <c r="C1" s="1"/>
      <c r="D1" s="1"/>
      <c r="E1" s="1"/>
      <c r="F1" s="1"/>
      <c r="G1" s="1"/>
      <c r="H1" s="1"/>
      <c r="I1" s="1"/>
      <c r="J1" s="1"/>
      <c r="K1" s="1"/>
      <c r="L1" s="1"/>
      <c r="M1" s="1"/>
      <c r="N1" s="1"/>
      <c r="O1" s="1"/>
      <c r="P1" s="1"/>
      <c r="Q1" s="1"/>
      <c r="R1" s="1"/>
      <c r="S1" s="1"/>
      <c r="T1" s="1"/>
      <c r="U1" s="1"/>
      <c r="V1" s="1"/>
      <c r="W1" s="1"/>
      <c r="X1" s="1"/>
      <c r="Y1" s="1"/>
      <c r="Z1" s="1"/>
    </row>
    <row r="2" spans="1:26" ht="409.5" x14ac:dyDescent="0.25">
      <c r="A2" s="7" t="s">
        <v>1</v>
      </c>
      <c r="B2" s="1"/>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ht="15.75"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25">
      <c r="A6" s="1"/>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25">
      <c r="A7" s="1"/>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2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2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row r="926" spans="1:26" ht="15.75" customHeight="1" x14ac:dyDescent="0.25"/>
    <row r="927" spans="1:26" ht="15.75" customHeight="1" x14ac:dyDescent="0.25"/>
    <row r="928" spans="1:26"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A197E-29FB-4FBE-9255-629BD56B2377}">
  <dimension ref="A3:G10"/>
  <sheetViews>
    <sheetView workbookViewId="0">
      <selection activeCell="K7" sqref="K7"/>
    </sheetView>
  </sheetViews>
  <sheetFormatPr defaultRowHeight="15" x14ac:dyDescent="0.25"/>
  <cols>
    <col min="1" max="1" width="14.5703125" bestFit="1" customWidth="1"/>
    <col min="2" max="2" width="16.28515625" bestFit="1" customWidth="1"/>
    <col min="3" max="6" width="9" bestFit="1" customWidth="1"/>
    <col min="7" max="7" width="11.28515625" bestFit="1" customWidth="1"/>
    <col min="8" max="8" width="12.42578125" bestFit="1" customWidth="1"/>
    <col min="9" max="9" width="8" bestFit="1" customWidth="1"/>
    <col min="10" max="10" width="15.5703125" bestFit="1" customWidth="1"/>
    <col min="11" max="11" width="11.140625" bestFit="1" customWidth="1"/>
    <col min="12" max="12" width="8" bestFit="1" customWidth="1"/>
    <col min="13" max="13" width="14.28515625" bestFit="1" customWidth="1"/>
    <col min="14" max="14" width="16.42578125" bestFit="1" customWidth="1"/>
    <col min="15" max="15" width="8" bestFit="1" customWidth="1"/>
    <col min="16" max="16" width="19.5703125" bestFit="1" customWidth="1"/>
    <col min="17" max="17" width="11.28515625" bestFit="1" customWidth="1"/>
    <col min="18" max="24" width="10.42578125" bestFit="1" customWidth="1"/>
    <col min="25" max="25" width="9.42578125" bestFit="1" customWidth="1"/>
    <col min="26" max="35" width="10.42578125" bestFit="1" customWidth="1"/>
    <col min="36" max="36" width="11" bestFit="1" customWidth="1"/>
    <col min="37" max="46" width="10.42578125" bestFit="1" customWidth="1"/>
    <col min="47" max="47" width="11" bestFit="1" customWidth="1"/>
    <col min="48" max="54" width="10.42578125" bestFit="1" customWidth="1"/>
    <col min="55" max="55" width="10.5703125" bestFit="1" customWidth="1"/>
    <col min="56" max="56" width="11.140625" bestFit="1" customWidth="1"/>
    <col min="57" max="67" width="10.42578125" bestFit="1" customWidth="1"/>
    <col min="68" max="68" width="12.28515625" bestFit="1" customWidth="1"/>
    <col min="69" max="70" width="10.42578125" bestFit="1" customWidth="1"/>
    <col min="71" max="71" width="9.42578125" bestFit="1" customWidth="1"/>
    <col min="72" max="78" width="10.42578125" bestFit="1" customWidth="1"/>
    <col min="79" max="79" width="11" bestFit="1" customWidth="1"/>
    <col min="80" max="88" width="10.42578125" bestFit="1" customWidth="1"/>
    <col min="89" max="89" width="11" bestFit="1" customWidth="1"/>
    <col min="90" max="99" width="10.42578125" bestFit="1" customWidth="1"/>
    <col min="100" max="100" width="10.5703125" bestFit="1" customWidth="1"/>
    <col min="101" max="101" width="13.42578125" bestFit="1" customWidth="1"/>
    <col min="102" max="102" width="12.42578125" bestFit="1" customWidth="1"/>
    <col min="103" max="109" width="10.42578125" bestFit="1" customWidth="1"/>
    <col min="110" max="110" width="12.28515625" bestFit="1" customWidth="1"/>
    <col min="111" max="112" width="10.42578125" bestFit="1" customWidth="1"/>
    <col min="113" max="113" width="9.42578125" bestFit="1" customWidth="1"/>
    <col min="114" max="122" width="10.42578125" bestFit="1" customWidth="1"/>
    <col min="123" max="123" width="11" bestFit="1" customWidth="1"/>
    <col min="124" max="135" width="10.42578125" bestFit="1" customWidth="1"/>
    <col min="136" max="136" width="11" bestFit="1" customWidth="1"/>
    <col min="137" max="147" width="10.42578125" bestFit="1" customWidth="1"/>
    <col min="148" max="148" width="10.5703125" bestFit="1" customWidth="1"/>
    <col min="149" max="149" width="15.5703125" bestFit="1" customWidth="1"/>
    <col min="150" max="150" width="11.140625" bestFit="1" customWidth="1"/>
    <col min="151" max="152" width="10.42578125" bestFit="1" customWidth="1"/>
    <col min="153" max="153" width="12.28515625" bestFit="1" customWidth="1"/>
    <col min="154" max="160" width="10.42578125" bestFit="1" customWidth="1"/>
    <col min="161" max="161" width="9.42578125" bestFit="1" customWidth="1"/>
    <col min="162" max="169" width="10.42578125" bestFit="1" customWidth="1"/>
    <col min="170" max="170" width="11" bestFit="1" customWidth="1"/>
    <col min="171" max="178" width="10.42578125" bestFit="1" customWidth="1"/>
    <col min="179" max="179" width="11" bestFit="1" customWidth="1"/>
    <col min="180" max="188" width="10.42578125" bestFit="1" customWidth="1"/>
    <col min="189" max="189" width="10.5703125" bestFit="1" customWidth="1"/>
    <col min="190" max="190" width="14.28515625" bestFit="1" customWidth="1"/>
    <col min="191" max="191" width="16.42578125" bestFit="1" customWidth="1"/>
    <col min="192" max="199" width="10.42578125" bestFit="1" customWidth="1"/>
    <col min="200" max="200" width="12.28515625" bestFit="1" customWidth="1"/>
    <col min="201" max="209" width="10.42578125" bestFit="1" customWidth="1"/>
    <col min="210" max="210" width="9.42578125" bestFit="1" customWidth="1"/>
    <col min="211" max="214" width="10.42578125" bestFit="1" customWidth="1"/>
    <col min="215" max="215" width="11" bestFit="1" customWidth="1"/>
    <col min="216" max="218" width="10.42578125" bestFit="1" customWidth="1"/>
    <col min="219" max="219" width="11" bestFit="1" customWidth="1"/>
    <col min="220" max="225" width="10.42578125" bestFit="1" customWidth="1"/>
    <col min="226" max="226" width="10.5703125" bestFit="1" customWidth="1"/>
    <col min="227" max="227" width="19.5703125" bestFit="1" customWidth="1"/>
    <col min="228" max="228" width="11.28515625" bestFit="1" customWidth="1"/>
  </cols>
  <sheetData>
    <row r="3" spans="1:7" x14ac:dyDescent="0.25">
      <c r="A3" s="15" t="s">
        <v>2</v>
      </c>
      <c r="B3" s="15" t="s">
        <v>101</v>
      </c>
    </row>
    <row r="4" spans="1:7" x14ac:dyDescent="0.25">
      <c r="A4" s="15" t="s">
        <v>95</v>
      </c>
      <c r="B4" t="s">
        <v>5</v>
      </c>
      <c r="C4" t="s">
        <v>6</v>
      </c>
      <c r="D4" t="s">
        <v>7</v>
      </c>
      <c r="E4" t="s">
        <v>8</v>
      </c>
      <c r="F4" t="s">
        <v>9</v>
      </c>
      <c r="G4" t="s">
        <v>10</v>
      </c>
    </row>
    <row r="5" spans="1:7" x14ac:dyDescent="0.25">
      <c r="A5" s="18" t="s">
        <v>11</v>
      </c>
      <c r="B5" s="16">
        <v>11297.150000000001</v>
      </c>
      <c r="C5" s="16">
        <v>11389.090000000002</v>
      </c>
      <c r="D5" s="16">
        <v>8037.0100000000011</v>
      </c>
      <c r="E5" s="16">
        <v>9588.0400000000009</v>
      </c>
      <c r="F5" s="16">
        <v>6691.17</v>
      </c>
      <c r="G5" s="16">
        <v>47002.460000000006</v>
      </c>
    </row>
    <row r="6" spans="1:7" x14ac:dyDescent="0.25">
      <c r="A6" s="18" t="s">
        <v>12</v>
      </c>
      <c r="B6" s="16">
        <v>12200.26</v>
      </c>
      <c r="C6" s="16">
        <v>2401.4499999999998</v>
      </c>
      <c r="D6" s="16">
        <v>8422.82</v>
      </c>
      <c r="E6" s="16">
        <v>8393.630000000001</v>
      </c>
      <c r="F6" s="16">
        <v>10509.429999999998</v>
      </c>
      <c r="G6" s="16">
        <v>41927.589999999997</v>
      </c>
    </row>
    <row r="7" spans="1:7" x14ac:dyDescent="0.25">
      <c r="A7" s="18" t="s">
        <v>13</v>
      </c>
      <c r="B7" s="16">
        <v>6621.24</v>
      </c>
      <c r="C7" s="16">
        <v>2869.54</v>
      </c>
      <c r="D7" s="16">
        <v>8191.7099999999991</v>
      </c>
      <c r="E7" s="16">
        <v>11989.070000000003</v>
      </c>
      <c r="F7" s="16">
        <v>11372.44</v>
      </c>
      <c r="G7" s="16">
        <v>41044</v>
      </c>
    </row>
    <row r="8" spans="1:7" x14ac:dyDescent="0.25">
      <c r="A8" s="18" t="s">
        <v>14</v>
      </c>
      <c r="B8" s="16">
        <v>4876.96</v>
      </c>
      <c r="C8" s="16">
        <v>7592.3399999999992</v>
      </c>
      <c r="D8" s="16">
        <v>6978.08</v>
      </c>
      <c r="E8" s="16">
        <v>7982.73</v>
      </c>
      <c r="F8" s="16">
        <v>9182.7800000000007</v>
      </c>
      <c r="G8" s="16">
        <v>36612.89</v>
      </c>
    </row>
    <row r="9" spans="1:7" x14ac:dyDescent="0.25">
      <c r="A9" s="18" t="s">
        <v>15</v>
      </c>
      <c r="B9" s="16">
        <v>8472.7199999999993</v>
      </c>
      <c r="C9" s="16">
        <v>8189.2200000000012</v>
      </c>
      <c r="D9" s="16">
        <v>3345.8</v>
      </c>
      <c r="E9" s="16">
        <v>2295.3199999999997</v>
      </c>
      <c r="F9" s="16">
        <v>6327.76</v>
      </c>
      <c r="G9" s="16">
        <v>28630.82</v>
      </c>
    </row>
    <row r="10" spans="1:7" x14ac:dyDescent="0.25">
      <c r="A10" s="18" t="s">
        <v>10</v>
      </c>
      <c r="B10" s="16">
        <v>43468.33</v>
      </c>
      <c r="C10" s="16">
        <v>32441.640000000003</v>
      </c>
      <c r="D10" s="16">
        <v>34975.420000000006</v>
      </c>
      <c r="E10" s="16">
        <v>40248.79</v>
      </c>
      <c r="F10" s="16">
        <v>44083.58</v>
      </c>
      <c r="G10" s="16">
        <v>195217.76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A1000"/>
  <sheetViews>
    <sheetView workbookViewId="0">
      <selection activeCell="L84" sqref="L84"/>
    </sheetView>
  </sheetViews>
  <sheetFormatPr defaultColWidth="14.42578125" defaultRowHeight="15" customHeight="1" x14ac:dyDescent="0.25"/>
  <cols>
    <col min="1" max="1" width="12.42578125" customWidth="1"/>
    <col min="2" max="2" width="16.5703125" customWidth="1"/>
    <col min="3" max="3" width="7.28515625" customWidth="1"/>
    <col min="4" max="4" width="16.7109375" customWidth="1"/>
    <col min="5" max="5" width="8" customWidth="1"/>
    <col min="6" max="6" width="8.85546875" customWidth="1"/>
    <col min="7" max="7" width="8.7109375" customWidth="1"/>
    <col min="8" max="8" width="11.28515625" customWidth="1"/>
    <col min="9" max="9" width="7" customWidth="1"/>
    <col min="10" max="10" width="38" bestFit="1" customWidth="1"/>
    <col min="11" max="11" width="8.7109375" customWidth="1"/>
    <col min="12" max="12" width="16.5703125" bestFit="1" customWidth="1"/>
    <col min="13" max="21" width="8.7109375" customWidth="1"/>
    <col min="22" max="22" width="12.28515625" bestFit="1" customWidth="1"/>
    <col min="23" max="27" width="8.7109375" customWidth="1"/>
  </cols>
  <sheetData>
    <row r="1" spans="1:27" ht="45" x14ac:dyDescent="0.25">
      <c r="A1" s="2" t="s">
        <v>16</v>
      </c>
      <c r="B1" s="2" t="s">
        <v>17</v>
      </c>
      <c r="C1" s="2" t="s">
        <v>3</v>
      </c>
      <c r="D1" s="2" t="s">
        <v>4</v>
      </c>
      <c r="E1" s="2" t="s">
        <v>18</v>
      </c>
      <c r="F1" s="2" t="s">
        <v>19</v>
      </c>
      <c r="G1" s="2" t="s">
        <v>20</v>
      </c>
      <c r="H1" s="2" t="s">
        <v>21</v>
      </c>
      <c r="I1" s="2" t="s">
        <v>22</v>
      </c>
      <c r="J1" s="8" t="s">
        <v>23</v>
      </c>
      <c r="K1" s="3" t="s">
        <v>24</v>
      </c>
      <c r="L1" s="8" t="s">
        <v>25</v>
      </c>
      <c r="M1" s="3" t="s">
        <v>26</v>
      </c>
      <c r="N1" s="3" t="s">
        <v>27</v>
      </c>
      <c r="O1" s="8" t="s">
        <v>28</v>
      </c>
      <c r="P1" s="8" t="s">
        <v>29</v>
      </c>
      <c r="Q1" s="8" t="s">
        <v>30</v>
      </c>
      <c r="R1" s="8" t="s">
        <v>31</v>
      </c>
      <c r="S1" s="8" t="s">
        <v>32</v>
      </c>
      <c r="T1" s="3" t="s">
        <v>33</v>
      </c>
      <c r="U1" s="8" t="s">
        <v>34</v>
      </c>
      <c r="V1" s="8" t="s">
        <v>35</v>
      </c>
      <c r="W1" s="3"/>
      <c r="X1" s="3"/>
      <c r="Y1" s="3"/>
      <c r="Z1" s="3"/>
      <c r="AA1" s="3"/>
    </row>
    <row r="2" spans="1:27" x14ac:dyDescent="0.25">
      <c r="A2" s="4" t="s">
        <v>36</v>
      </c>
      <c r="B2" s="4" t="s">
        <v>37</v>
      </c>
      <c r="C2" s="4" t="s">
        <v>9</v>
      </c>
      <c r="D2" s="4" t="s">
        <v>11</v>
      </c>
      <c r="E2" s="4">
        <v>1036.0899999999999</v>
      </c>
      <c r="F2" s="4">
        <v>4</v>
      </c>
      <c r="G2" s="4">
        <v>0.2</v>
      </c>
      <c r="H2" s="5">
        <v>45392</v>
      </c>
      <c r="I2" s="4">
        <v>331.55</v>
      </c>
      <c r="J2" s="4" t="str" cm="1">
        <f t="array" ref="J2">IFERROR(INDEX(B:B,MATCH(IF(E2&gt;1500,E2,"false"),E:E,0),0),"is not high value customer")</f>
        <v>is not high value customer</v>
      </c>
      <c r="L2" s="17">
        <v>0.54513888888888884</v>
      </c>
      <c r="M2">
        <f>T2/V2</f>
        <v>0.35085598819512248</v>
      </c>
      <c r="N2">
        <f>P2-(M2*O2)</f>
        <v>-1.0315504901910799</v>
      </c>
      <c r="O2">
        <f>AVERAGE(E2:E201)</f>
        <v>976.08879999999965</v>
      </c>
      <c r="P2">
        <f>AVERAGE(I2:I201)</f>
        <v>341.43505000000005</v>
      </c>
      <c r="Q2">
        <f>E2-$O$2</f>
        <v>60.001200000000267</v>
      </c>
      <c r="R2">
        <f>I2-$P$2</f>
        <v>-9.8850500000000352</v>
      </c>
      <c r="S2">
        <f>Q2*R2</f>
        <v>-593.11486206000473</v>
      </c>
      <c r="T2">
        <f>SUM(S2:S201)</f>
        <v>6253443.7409120016</v>
      </c>
      <c r="U2">
        <f>Q2*Q2</f>
        <v>3600.1440014400318</v>
      </c>
      <c r="V2">
        <f>SUM(U2:U201)</f>
        <v>17823391.794111997</v>
      </c>
    </row>
    <row r="3" spans="1:27" x14ac:dyDescent="0.25">
      <c r="A3" s="4" t="s">
        <v>38</v>
      </c>
      <c r="B3" s="4" t="s">
        <v>39</v>
      </c>
      <c r="C3" s="4" t="s">
        <v>9</v>
      </c>
      <c r="D3" s="4" t="s">
        <v>12</v>
      </c>
      <c r="E3" s="4">
        <v>1101.28</v>
      </c>
      <c r="F3" s="4">
        <v>3</v>
      </c>
      <c r="G3" s="4">
        <v>0.2</v>
      </c>
      <c r="H3" s="5">
        <v>45393</v>
      </c>
      <c r="I3" s="4">
        <v>440.51</v>
      </c>
      <c r="J3" s="4" t="str" cm="1">
        <f t="array" ref="J3">IFERROR(INDEX(B:B,MATCH(IF(E3&gt;1500,E3,"false"),E:E,0),0),"is not high value customer")</f>
        <v>is not high value customer</v>
      </c>
      <c r="L3" s="17">
        <v>0.54513888888888884</v>
      </c>
      <c r="Q3">
        <f t="shared" ref="Q3:Q66" si="0">E3-$O$2</f>
        <v>125.19120000000032</v>
      </c>
      <c r="R3">
        <f t="shared" ref="R3:R66" si="1">I3-$P$2</f>
        <v>99.074949999999944</v>
      </c>
      <c r="S3">
        <f t="shared" ref="S3:S66" si="2">Q3*R3</f>
        <v>12403.311880440026</v>
      </c>
      <c r="U3">
        <f t="shared" ref="U3:U66" si="3">Q3*Q3</f>
        <v>15672.836557440081</v>
      </c>
    </row>
    <row r="4" spans="1:27" x14ac:dyDescent="0.25">
      <c r="A4" s="4" t="s">
        <v>40</v>
      </c>
      <c r="B4" s="4" t="s">
        <v>41</v>
      </c>
      <c r="C4" s="4" t="s">
        <v>6</v>
      </c>
      <c r="D4" s="4" t="s">
        <v>11</v>
      </c>
      <c r="E4" s="4">
        <v>713.34</v>
      </c>
      <c r="F4" s="4">
        <v>17</v>
      </c>
      <c r="G4" s="4">
        <v>0</v>
      </c>
      <c r="H4" s="5">
        <v>45396</v>
      </c>
      <c r="I4" s="4">
        <v>285.33999999999997</v>
      </c>
      <c r="J4" s="4" t="str" cm="1">
        <f t="array" ref="J4">IFERROR(INDEX(B:B,MATCH(IF(E4&gt;1500,E4,"false"),E:E,0),0),"is not high value customer")</f>
        <v>is not high value customer</v>
      </c>
      <c r="L4" s="17">
        <v>0.54513888888888884</v>
      </c>
      <c r="Q4">
        <f t="shared" si="0"/>
        <v>-262.74879999999962</v>
      </c>
      <c r="R4">
        <f t="shared" si="1"/>
        <v>-56.095050000000072</v>
      </c>
      <c r="S4">
        <f t="shared" si="2"/>
        <v>14738.907073439997</v>
      </c>
      <c r="U4">
        <f t="shared" si="3"/>
        <v>69036.931901439806</v>
      </c>
    </row>
    <row r="5" spans="1:27" x14ac:dyDescent="0.25">
      <c r="A5" s="4" t="s">
        <v>42</v>
      </c>
      <c r="B5" s="4" t="s">
        <v>39</v>
      </c>
      <c r="C5" s="4" t="s">
        <v>8</v>
      </c>
      <c r="D5" s="4" t="s">
        <v>13</v>
      </c>
      <c r="E5" s="4">
        <v>760.93</v>
      </c>
      <c r="F5" s="4">
        <v>4</v>
      </c>
      <c r="G5" s="4">
        <v>0.15</v>
      </c>
      <c r="H5" s="5">
        <v>45396</v>
      </c>
      <c r="I5" s="4">
        <v>161.69999999999999</v>
      </c>
      <c r="J5" s="4" t="str" cm="1">
        <f t="array" ref="J5">IFERROR(INDEX(B:B,MATCH(IF(E5&gt;1500,E5,"false"),E:E,0),0),"is not high value customer")</f>
        <v>is not high value customer</v>
      </c>
      <c r="L5" s="17">
        <v>0.54513888888888884</v>
      </c>
      <c r="Q5">
        <f t="shared" si="0"/>
        <v>-215.1587999999997</v>
      </c>
      <c r="R5">
        <f t="shared" si="1"/>
        <v>-179.73505000000006</v>
      </c>
      <c r="S5">
        <f t="shared" si="2"/>
        <v>38671.57767593996</v>
      </c>
      <c r="U5">
        <f t="shared" si="3"/>
        <v>46293.30921743987</v>
      </c>
    </row>
    <row r="6" spans="1:27" x14ac:dyDescent="0.25">
      <c r="A6" s="4" t="s">
        <v>43</v>
      </c>
      <c r="B6" s="4" t="s">
        <v>44</v>
      </c>
      <c r="C6" s="4" t="s">
        <v>7</v>
      </c>
      <c r="D6" s="4" t="s">
        <v>11</v>
      </c>
      <c r="E6" s="4">
        <v>847</v>
      </c>
      <c r="F6" s="4">
        <v>12</v>
      </c>
      <c r="G6" s="4">
        <v>0.2</v>
      </c>
      <c r="H6" s="5">
        <v>45397</v>
      </c>
      <c r="I6" s="4">
        <v>271.04000000000002</v>
      </c>
      <c r="J6" s="4" t="str" cm="1">
        <f t="array" ref="J6">IFERROR(INDEX(B:B,MATCH(IF(E6&gt;1500,E6,"false"),E:E,0),0),"is not high value customer")</f>
        <v>is not high value customer</v>
      </c>
      <c r="L6" s="17">
        <v>0.54513888888888884</v>
      </c>
      <c r="Q6">
        <f t="shared" si="0"/>
        <v>-129.08879999999965</v>
      </c>
      <c r="R6">
        <f t="shared" si="1"/>
        <v>-70.395050000000026</v>
      </c>
      <c r="S6">
        <f t="shared" si="2"/>
        <v>9087.2125304399797</v>
      </c>
      <c r="U6">
        <f t="shared" si="3"/>
        <v>16663.918285439911</v>
      </c>
    </row>
    <row r="7" spans="1:27" x14ac:dyDescent="0.25">
      <c r="A7" s="4" t="s">
        <v>45</v>
      </c>
      <c r="B7" s="4" t="s">
        <v>46</v>
      </c>
      <c r="C7" s="4" t="s">
        <v>7</v>
      </c>
      <c r="D7" s="4" t="s">
        <v>14</v>
      </c>
      <c r="E7" s="4">
        <v>965.64</v>
      </c>
      <c r="F7" s="4">
        <v>8</v>
      </c>
      <c r="G7" s="4">
        <v>0.1</v>
      </c>
      <c r="H7" s="5">
        <v>45398</v>
      </c>
      <c r="I7" s="4">
        <v>304.18</v>
      </c>
      <c r="J7" s="4" t="str" cm="1">
        <f t="array" ref="J7">IFERROR(INDEX(B:B,MATCH(IF(E7&gt;1500,E7,"false"),E:E,0),0),"is not high value customer")</f>
        <v>is not high value customer</v>
      </c>
      <c r="L7" s="17">
        <v>0.54513888888888884</v>
      </c>
      <c r="Q7">
        <f t="shared" si="0"/>
        <v>-10.448799999999665</v>
      </c>
      <c r="R7">
        <f t="shared" si="1"/>
        <v>-37.25505000000004</v>
      </c>
      <c r="S7">
        <f t="shared" si="2"/>
        <v>389.27056643998793</v>
      </c>
      <c r="U7">
        <f t="shared" si="3"/>
        <v>109.177421439993</v>
      </c>
    </row>
    <row r="8" spans="1:27" x14ac:dyDescent="0.25">
      <c r="A8" s="4" t="s">
        <v>47</v>
      </c>
      <c r="B8" s="4" t="s">
        <v>48</v>
      </c>
      <c r="C8" s="4" t="s">
        <v>9</v>
      </c>
      <c r="D8" s="4" t="s">
        <v>13</v>
      </c>
      <c r="E8" s="4">
        <v>1317.53</v>
      </c>
      <c r="F8" s="4">
        <v>12</v>
      </c>
      <c r="G8" s="4">
        <v>0.05</v>
      </c>
      <c r="H8" s="5">
        <v>45398</v>
      </c>
      <c r="I8" s="4">
        <v>312.91000000000003</v>
      </c>
      <c r="J8" s="4" t="str" cm="1">
        <f t="array" ref="J8">IFERROR(INDEX(B:B,MATCH(IF(E8&gt;1500,E8,"false"),E:E,0),0),"is not high value customer")</f>
        <v>is not high value customer</v>
      </c>
      <c r="L8" s="17">
        <v>0.54513888888888884</v>
      </c>
      <c r="Q8">
        <f t="shared" si="0"/>
        <v>341.44120000000032</v>
      </c>
      <c r="R8">
        <f t="shared" si="1"/>
        <v>-28.525050000000022</v>
      </c>
      <c r="S8">
        <f t="shared" si="2"/>
        <v>-9739.6273020600165</v>
      </c>
      <c r="U8">
        <f t="shared" si="3"/>
        <v>116582.09305744022</v>
      </c>
    </row>
    <row r="9" spans="1:27" x14ac:dyDescent="0.25">
      <c r="A9" s="4" t="s">
        <v>49</v>
      </c>
      <c r="B9" s="4" t="s">
        <v>50</v>
      </c>
      <c r="C9" s="4" t="s">
        <v>6</v>
      </c>
      <c r="D9" s="4" t="s">
        <v>14</v>
      </c>
      <c r="E9" s="4">
        <v>1074.47</v>
      </c>
      <c r="F9" s="4">
        <v>6</v>
      </c>
      <c r="G9" s="4">
        <v>0.2</v>
      </c>
      <c r="H9" s="5">
        <v>45401</v>
      </c>
      <c r="I9" s="4">
        <v>300.85000000000002</v>
      </c>
      <c r="J9" s="4" t="str" cm="1">
        <f t="array" ref="J9">IFERROR(INDEX(B:B,MATCH(IF(E9&gt;1500,E9,"false"),E:E,0),0),"is not high value customer")</f>
        <v>is not high value customer</v>
      </c>
      <c r="L9" s="17">
        <v>0.54513888888888884</v>
      </c>
      <c r="Q9">
        <f t="shared" si="0"/>
        <v>98.381200000000376</v>
      </c>
      <c r="R9">
        <f t="shared" si="1"/>
        <v>-40.585050000000024</v>
      </c>
      <c r="S9">
        <f t="shared" si="2"/>
        <v>-3992.8059210600177</v>
      </c>
      <c r="U9">
        <f t="shared" si="3"/>
        <v>9678.8605134400732</v>
      </c>
    </row>
    <row r="10" spans="1:27" x14ac:dyDescent="0.25">
      <c r="A10" s="4" t="s">
        <v>51</v>
      </c>
      <c r="B10" s="4" t="s">
        <v>52</v>
      </c>
      <c r="C10" s="4" t="s">
        <v>5</v>
      </c>
      <c r="D10" s="4" t="s">
        <v>11</v>
      </c>
      <c r="E10" s="4">
        <v>501.54</v>
      </c>
      <c r="F10" s="4">
        <v>11</v>
      </c>
      <c r="G10" s="4">
        <v>0.05</v>
      </c>
      <c r="H10" s="5">
        <v>45401</v>
      </c>
      <c r="I10" s="4">
        <v>190.59</v>
      </c>
      <c r="J10" s="4" t="str" cm="1">
        <f t="array" ref="J10">IFERROR(INDEX(B:B,MATCH(IF(E10&gt;1500,E10,"false"),E:E,0),0),"is not high value customer")</f>
        <v>is not high value customer</v>
      </c>
      <c r="L10" s="17">
        <v>0.54513888888888884</v>
      </c>
      <c r="Q10">
        <f t="shared" si="0"/>
        <v>-474.54879999999963</v>
      </c>
      <c r="R10">
        <f t="shared" si="1"/>
        <v>-150.84505000000004</v>
      </c>
      <c r="S10">
        <f t="shared" si="2"/>
        <v>71583.337463439966</v>
      </c>
      <c r="U10">
        <f t="shared" si="3"/>
        <v>225196.56358143964</v>
      </c>
    </row>
    <row r="11" spans="1:27" x14ac:dyDescent="0.25">
      <c r="A11" s="4" t="s">
        <v>53</v>
      </c>
      <c r="B11" s="4" t="s">
        <v>54</v>
      </c>
      <c r="C11" s="4" t="s">
        <v>5</v>
      </c>
      <c r="D11" s="4" t="s">
        <v>12</v>
      </c>
      <c r="E11" s="4">
        <v>737.31</v>
      </c>
      <c r="F11" s="4">
        <v>2</v>
      </c>
      <c r="G11" s="4">
        <v>0.05</v>
      </c>
      <c r="H11" s="5">
        <v>45401</v>
      </c>
      <c r="I11" s="4">
        <v>350.22</v>
      </c>
      <c r="J11" s="4" t="str" cm="1">
        <f t="array" ref="J11">IFERROR(INDEX(B:B,MATCH(IF(E11&gt;1500,E11,"false"),E:E,0),0),"is not high value customer")</f>
        <v>is not high value customer</v>
      </c>
      <c r="L11" s="17">
        <v>0.54513888888888884</v>
      </c>
      <c r="Q11">
        <f t="shared" si="0"/>
        <v>-238.77879999999971</v>
      </c>
      <c r="R11">
        <f t="shared" si="1"/>
        <v>8.7849499999999807</v>
      </c>
      <c r="S11">
        <f t="shared" si="2"/>
        <v>-2097.659819059993</v>
      </c>
      <c r="U11">
        <f t="shared" si="3"/>
        <v>57015.315329439858</v>
      </c>
    </row>
    <row r="12" spans="1:27" x14ac:dyDescent="0.25">
      <c r="A12" s="4" t="s">
        <v>55</v>
      </c>
      <c r="B12" s="4" t="s">
        <v>56</v>
      </c>
      <c r="C12" s="4" t="s">
        <v>9</v>
      </c>
      <c r="D12" s="4" t="s">
        <v>15</v>
      </c>
      <c r="E12" s="4">
        <v>1572.82</v>
      </c>
      <c r="F12" s="4">
        <v>6</v>
      </c>
      <c r="G12" s="4">
        <v>0.05</v>
      </c>
      <c r="H12" s="5">
        <v>45402</v>
      </c>
      <c r="I12" s="4">
        <v>672.38</v>
      </c>
      <c r="J12" s="4" t="str" cm="1">
        <f t="array" ref="J12">IFERROR(INDEX(B:B,MATCH(IF(E12&gt;1500,E12,"false"),E:E,0),0),"is not high value customer")</f>
        <v>Emma Davis</v>
      </c>
      <c r="L12" s="17">
        <v>0.54513888888888884</v>
      </c>
      <c r="Q12">
        <f t="shared" si="0"/>
        <v>596.73120000000029</v>
      </c>
      <c r="R12">
        <f t="shared" si="1"/>
        <v>330.94494999999995</v>
      </c>
      <c r="S12">
        <f t="shared" si="2"/>
        <v>197485.17714744006</v>
      </c>
      <c r="U12">
        <f t="shared" si="3"/>
        <v>356088.12505344034</v>
      </c>
    </row>
    <row r="13" spans="1:27" x14ac:dyDescent="0.25">
      <c r="A13" s="4" t="s">
        <v>55</v>
      </c>
      <c r="B13" s="4" t="s">
        <v>54</v>
      </c>
      <c r="C13" s="4" t="s">
        <v>5</v>
      </c>
      <c r="D13" s="4" t="s">
        <v>11</v>
      </c>
      <c r="E13" s="4">
        <v>1343.13</v>
      </c>
      <c r="F13" s="4">
        <v>14</v>
      </c>
      <c r="G13" s="4">
        <v>0.15</v>
      </c>
      <c r="H13" s="5">
        <v>45404</v>
      </c>
      <c r="I13" s="4">
        <v>456.66</v>
      </c>
      <c r="J13" s="4" t="str" cm="1">
        <f t="array" ref="J13">IFERROR(INDEX(B:B,MATCH(IF(E13&gt;1500,E13,"false"),E:E,0),0),"is not high value customer")</f>
        <v>is not high value customer</v>
      </c>
      <c r="L13" s="17">
        <v>0.54513888888888884</v>
      </c>
      <c r="Q13">
        <f t="shared" si="0"/>
        <v>367.04120000000046</v>
      </c>
      <c r="R13">
        <f t="shared" si="1"/>
        <v>115.22494999999998</v>
      </c>
      <c r="S13">
        <f t="shared" si="2"/>
        <v>42292.303917940044</v>
      </c>
      <c r="U13">
        <f t="shared" si="3"/>
        <v>134719.24249744034</v>
      </c>
    </row>
    <row r="14" spans="1:27" x14ac:dyDescent="0.25">
      <c r="A14" s="4" t="s">
        <v>45</v>
      </c>
      <c r="B14" s="4" t="s">
        <v>46</v>
      </c>
      <c r="C14" s="4" t="s">
        <v>5</v>
      </c>
      <c r="D14" s="4" t="s">
        <v>11</v>
      </c>
      <c r="E14" s="4">
        <v>1191.58</v>
      </c>
      <c r="F14" s="4">
        <v>14</v>
      </c>
      <c r="G14" s="4">
        <v>0.05</v>
      </c>
      <c r="H14" s="5">
        <v>45406</v>
      </c>
      <c r="I14" s="4">
        <v>452.8</v>
      </c>
      <c r="J14" s="4" t="str" cm="1">
        <f t="array" ref="J14">IFERROR(INDEX(B:B,MATCH(IF(E14&gt;1500,E14,"false"),E:E,0),0),"is not high value customer")</f>
        <v>is not high value customer</v>
      </c>
      <c r="L14" s="17">
        <v>0.54513888888888884</v>
      </c>
      <c r="Q14">
        <f t="shared" si="0"/>
        <v>215.49120000000028</v>
      </c>
      <c r="R14">
        <f t="shared" si="1"/>
        <v>111.36494999999996</v>
      </c>
      <c r="S14">
        <f t="shared" si="2"/>
        <v>23998.166713440023</v>
      </c>
      <c r="U14">
        <f t="shared" si="3"/>
        <v>46436.457277440117</v>
      </c>
    </row>
    <row r="15" spans="1:27" x14ac:dyDescent="0.25">
      <c r="A15" s="4" t="s">
        <v>57</v>
      </c>
      <c r="B15" s="4" t="s">
        <v>39</v>
      </c>
      <c r="C15" s="4" t="s">
        <v>9</v>
      </c>
      <c r="D15" s="4" t="s">
        <v>14</v>
      </c>
      <c r="E15" s="4">
        <v>822.28</v>
      </c>
      <c r="F15" s="4">
        <v>7</v>
      </c>
      <c r="G15" s="4">
        <v>0.05</v>
      </c>
      <c r="H15" s="5">
        <v>45406</v>
      </c>
      <c r="I15" s="4">
        <v>273.41000000000003</v>
      </c>
      <c r="J15" s="4" t="str" cm="1">
        <f t="array" ref="J15">IFERROR(INDEX(B:B,MATCH(IF(E15&gt;1500,E15,"false"),E:E,0),0),"is not high value customer")</f>
        <v>is not high value customer</v>
      </c>
      <c r="L15" s="17">
        <v>0.54513888888888884</v>
      </c>
      <c r="Q15">
        <f t="shared" si="0"/>
        <v>-153.80879999999968</v>
      </c>
      <c r="R15">
        <f t="shared" si="1"/>
        <v>-68.025050000000022</v>
      </c>
      <c r="S15">
        <f t="shared" si="2"/>
        <v>10462.851310439981</v>
      </c>
      <c r="U15">
        <f t="shared" si="3"/>
        <v>23657.146957439902</v>
      </c>
    </row>
    <row r="16" spans="1:27" x14ac:dyDescent="0.25">
      <c r="A16" s="4" t="s">
        <v>58</v>
      </c>
      <c r="B16" s="4" t="s">
        <v>59</v>
      </c>
      <c r="C16" s="4" t="s">
        <v>7</v>
      </c>
      <c r="D16" s="4" t="s">
        <v>14</v>
      </c>
      <c r="E16" s="4">
        <v>521.66999999999996</v>
      </c>
      <c r="F16" s="4">
        <v>15</v>
      </c>
      <c r="G16" s="4">
        <v>0.15</v>
      </c>
      <c r="H16" s="5">
        <v>45409</v>
      </c>
      <c r="I16" s="4">
        <v>155.19999999999999</v>
      </c>
      <c r="J16" s="4" t="str" cm="1">
        <f t="array" ref="J16">IFERROR(INDEX(B:B,MATCH(IF(E16&gt;1500,E16,"false"),E:E,0),0),"is not high value customer")</f>
        <v>is not high value customer</v>
      </c>
      <c r="L16" s="17">
        <v>0.54513888888888884</v>
      </c>
      <c r="Q16">
        <f t="shared" si="0"/>
        <v>-454.41879999999969</v>
      </c>
      <c r="R16">
        <f t="shared" si="1"/>
        <v>-186.23505000000006</v>
      </c>
      <c r="S16">
        <f t="shared" si="2"/>
        <v>84628.707938939973</v>
      </c>
      <c r="U16">
        <f t="shared" si="3"/>
        <v>206496.44579343972</v>
      </c>
    </row>
    <row r="17" spans="1:21" x14ac:dyDescent="0.25">
      <c r="A17" s="4" t="s">
        <v>42</v>
      </c>
      <c r="B17" s="4" t="s">
        <v>60</v>
      </c>
      <c r="C17" s="4" t="s">
        <v>8</v>
      </c>
      <c r="D17" s="4" t="s">
        <v>13</v>
      </c>
      <c r="E17" s="4">
        <v>1502.93</v>
      </c>
      <c r="F17" s="4">
        <v>14</v>
      </c>
      <c r="G17" s="4">
        <v>0.2</v>
      </c>
      <c r="H17" s="5">
        <v>45410</v>
      </c>
      <c r="I17" s="4">
        <v>300.58999999999997</v>
      </c>
      <c r="J17" s="4" t="str" cm="1">
        <f t="array" ref="J17">IFERROR(INDEX(B:B,MATCH(IF(E17&gt;1500,E17,"false"),E:E,0),0),"is not high value customer")</f>
        <v>Sarah Anderson</v>
      </c>
      <c r="L17" s="17">
        <v>0.54513888888888884</v>
      </c>
      <c r="Q17">
        <f t="shared" si="0"/>
        <v>526.84120000000041</v>
      </c>
      <c r="R17">
        <f t="shared" si="1"/>
        <v>-40.845050000000072</v>
      </c>
      <c r="S17">
        <f t="shared" si="2"/>
        <v>-21518.855156060054</v>
      </c>
      <c r="U17">
        <f t="shared" si="3"/>
        <v>277561.65001744044</v>
      </c>
    </row>
    <row r="18" spans="1:21" x14ac:dyDescent="0.25">
      <c r="A18" s="4" t="s">
        <v>61</v>
      </c>
      <c r="B18" s="4" t="s">
        <v>39</v>
      </c>
      <c r="C18" s="4" t="s">
        <v>8</v>
      </c>
      <c r="D18" s="4" t="s">
        <v>11</v>
      </c>
      <c r="E18" s="4">
        <v>877.58</v>
      </c>
      <c r="F18" s="4">
        <v>10</v>
      </c>
      <c r="G18" s="4">
        <v>0.15</v>
      </c>
      <c r="H18" s="5">
        <v>45411</v>
      </c>
      <c r="I18" s="4">
        <v>298.38</v>
      </c>
      <c r="J18" s="4" t="str" cm="1">
        <f t="array" ref="J18">IFERROR(INDEX(B:B,MATCH(IF(E18&gt;1500,E18,"false"),E:E,0),0),"is not high value customer")</f>
        <v>is not high value customer</v>
      </c>
      <c r="L18" s="17">
        <v>0.54513888888888884</v>
      </c>
      <c r="Q18">
        <f t="shared" si="0"/>
        <v>-98.50879999999961</v>
      </c>
      <c r="R18">
        <f t="shared" si="1"/>
        <v>-43.055050000000051</v>
      </c>
      <c r="S18">
        <f t="shared" si="2"/>
        <v>4241.3013094399885</v>
      </c>
      <c r="U18">
        <f t="shared" si="3"/>
        <v>9703.9836774399228</v>
      </c>
    </row>
    <row r="19" spans="1:21" x14ac:dyDescent="0.25">
      <c r="A19" s="4" t="s">
        <v>47</v>
      </c>
      <c r="B19" s="4" t="s">
        <v>62</v>
      </c>
      <c r="C19" s="4" t="s">
        <v>9</v>
      </c>
      <c r="D19" s="4" t="s">
        <v>11</v>
      </c>
      <c r="E19" s="4">
        <v>636.70000000000005</v>
      </c>
      <c r="F19" s="4">
        <v>4</v>
      </c>
      <c r="G19" s="4">
        <v>0.2</v>
      </c>
      <c r="H19" s="5">
        <v>45411</v>
      </c>
      <c r="I19" s="4">
        <v>203.74</v>
      </c>
      <c r="J19" s="4" t="str" cm="1">
        <f t="array" ref="J19">IFERROR(INDEX(B:B,MATCH(IF(E19&gt;1500,E19,"false"),E:E,0),0),"is not high value customer")</f>
        <v>is not high value customer</v>
      </c>
      <c r="L19" s="17">
        <v>0.54513888888888884</v>
      </c>
      <c r="Q19">
        <f t="shared" si="0"/>
        <v>-339.38879999999961</v>
      </c>
      <c r="R19">
        <f t="shared" si="1"/>
        <v>-137.69505000000004</v>
      </c>
      <c r="S19">
        <f t="shared" si="2"/>
        <v>46732.157785439958</v>
      </c>
      <c r="U19">
        <f t="shared" si="3"/>
        <v>115184.75756543974</v>
      </c>
    </row>
    <row r="20" spans="1:21" x14ac:dyDescent="0.25">
      <c r="A20" s="4" t="s">
        <v>63</v>
      </c>
      <c r="B20" s="4" t="s">
        <v>64</v>
      </c>
      <c r="C20" s="4" t="s">
        <v>9</v>
      </c>
      <c r="D20" s="4" t="s">
        <v>11</v>
      </c>
      <c r="E20" s="4">
        <v>1506.14</v>
      </c>
      <c r="F20" s="4">
        <v>13</v>
      </c>
      <c r="G20" s="4">
        <v>0.2</v>
      </c>
      <c r="H20" s="5">
        <v>45412</v>
      </c>
      <c r="I20" s="4">
        <v>481.96</v>
      </c>
      <c r="J20" s="4" t="str" cm="1">
        <f t="array" ref="J20">IFERROR(INDEX(B:B,MATCH(IF(E20&gt;1500,E20,"false"),E:E,0),0),"is not high value customer")</f>
        <v>Mary Jackson</v>
      </c>
      <c r="L20" s="17">
        <v>0.54513888888888884</v>
      </c>
      <c r="Q20">
        <f t="shared" si="0"/>
        <v>530.05120000000045</v>
      </c>
      <c r="R20">
        <f t="shared" si="1"/>
        <v>140.52494999999993</v>
      </c>
      <c r="S20">
        <f t="shared" si="2"/>
        <v>74485.41837744003</v>
      </c>
      <c r="U20">
        <f t="shared" si="3"/>
        <v>280954.27462144051</v>
      </c>
    </row>
    <row r="21" spans="1:21" ht="15.75" customHeight="1" x14ac:dyDescent="0.25">
      <c r="A21" s="4" t="s">
        <v>49</v>
      </c>
      <c r="B21" s="4" t="s">
        <v>50</v>
      </c>
      <c r="C21" s="4" t="s">
        <v>5</v>
      </c>
      <c r="D21" s="4" t="s">
        <v>13</v>
      </c>
      <c r="E21" s="4">
        <v>645.02</v>
      </c>
      <c r="F21" s="4">
        <v>4</v>
      </c>
      <c r="G21" s="4">
        <v>0</v>
      </c>
      <c r="H21" s="5">
        <v>45414</v>
      </c>
      <c r="I21" s="4">
        <v>161.26</v>
      </c>
      <c r="J21" s="4" t="str" cm="1">
        <f t="array" ref="J21">IFERROR(INDEX(B:B,MATCH(IF(E21&gt;1500,E21,"false"),E:E,0),0),"is not high value customer")</f>
        <v>is not high value customer</v>
      </c>
      <c r="L21" s="17">
        <v>0.54513888888888884</v>
      </c>
      <c r="Q21">
        <f t="shared" si="0"/>
        <v>-331.06879999999967</v>
      </c>
      <c r="R21">
        <f t="shared" si="1"/>
        <v>-180.17505000000006</v>
      </c>
      <c r="S21">
        <f t="shared" si="2"/>
        <v>59650.337593439959</v>
      </c>
      <c r="U21">
        <f t="shared" si="3"/>
        <v>109606.55033343978</v>
      </c>
    </row>
    <row r="22" spans="1:21" ht="15.75" customHeight="1" x14ac:dyDescent="0.25">
      <c r="A22" s="4" t="s">
        <v>45</v>
      </c>
      <c r="B22" s="4" t="s">
        <v>65</v>
      </c>
      <c r="C22" s="4" t="s">
        <v>8</v>
      </c>
      <c r="D22" s="4" t="s">
        <v>12</v>
      </c>
      <c r="E22" s="4">
        <v>953.3</v>
      </c>
      <c r="F22" s="4">
        <v>11</v>
      </c>
      <c r="G22" s="4">
        <v>0</v>
      </c>
      <c r="H22" s="5">
        <v>45415</v>
      </c>
      <c r="I22" s="4">
        <v>476.65</v>
      </c>
      <c r="J22" s="4" t="str" cm="1">
        <f t="array" ref="J22">IFERROR(INDEX(B:B,MATCH(IF(E22&gt;1500,E22,"false"),E:E,0),0),"is not high value customer")</f>
        <v>is not high value customer</v>
      </c>
      <c r="L22" s="17">
        <v>0.54513888888888884</v>
      </c>
      <c r="Q22">
        <f t="shared" si="0"/>
        <v>-22.788799999999696</v>
      </c>
      <c r="R22">
        <f t="shared" si="1"/>
        <v>135.21494999999993</v>
      </c>
      <c r="S22">
        <f t="shared" si="2"/>
        <v>-3081.3864525599574</v>
      </c>
      <c r="U22">
        <f t="shared" si="3"/>
        <v>519.3294054399862</v>
      </c>
    </row>
    <row r="23" spans="1:21" ht="15.75" customHeight="1" x14ac:dyDescent="0.25">
      <c r="A23" s="4" t="s">
        <v>66</v>
      </c>
      <c r="B23" s="4" t="s">
        <v>39</v>
      </c>
      <c r="C23" s="4" t="s">
        <v>7</v>
      </c>
      <c r="D23" s="4" t="s">
        <v>13</v>
      </c>
      <c r="E23" s="4">
        <v>388.56</v>
      </c>
      <c r="F23" s="4">
        <v>14</v>
      </c>
      <c r="G23" s="4">
        <v>0.15</v>
      </c>
      <c r="H23" s="5">
        <v>45416</v>
      </c>
      <c r="I23" s="4">
        <v>82.57</v>
      </c>
      <c r="J23" s="4" t="str" cm="1">
        <f t="array" ref="J23">IFERROR(INDEX(B:B,MATCH(IF(E23&gt;1500,E23,"false"),E:E,0),0),"is not high value customer")</f>
        <v>is not high value customer</v>
      </c>
      <c r="L23" s="17">
        <v>0.54513888888888884</v>
      </c>
      <c r="Q23">
        <f t="shared" si="0"/>
        <v>-587.52879999999959</v>
      </c>
      <c r="R23">
        <f t="shared" si="1"/>
        <v>-258.86505000000005</v>
      </c>
      <c r="S23">
        <f t="shared" si="2"/>
        <v>152090.67218843993</v>
      </c>
      <c r="U23">
        <f t="shared" si="3"/>
        <v>345190.09082943952</v>
      </c>
    </row>
    <row r="24" spans="1:21" ht="15.75" customHeight="1" x14ac:dyDescent="0.25">
      <c r="A24" s="4" t="s">
        <v>36</v>
      </c>
      <c r="B24" s="4" t="s">
        <v>50</v>
      </c>
      <c r="C24" s="4" t="s">
        <v>9</v>
      </c>
      <c r="D24" s="4" t="s">
        <v>11</v>
      </c>
      <c r="E24" s="4">
        <v>743.17</v>
      </c>
      <c r="F24" s="4">
        <v>9</v>
      </c>
      <c r="G24" s="4">
        <v>0</v>
      </c>
      <c r="H24" s="5">
        <v>45416</v>
      </c>
      <c r="I24" s="4">
        <v>297.27</v>
      </c>
      <c r="J24" s="4" t="str" cm="1">
        <f t="array" ref="J24">IFERROR(INDEX(B:B,MATCH(IF(E24&gt;1500,E24,"false"),E:E,0),0),"is not high value customer")</f>
        <v>is not high value customer</v>
      </c>
      <c r="L24" s="17">
        <v>0.54513888888888884</v>
      </c>
      <c r="Q24">
        <f t="shared" si="0"/>
        <v>-232.91879999999969</v>
      </c>
      <c r="R24">
        <f t="shared" si="1"/>
        <v>-44.165050000000065</v>
      </c>
      <c r="S24">
        <f t="shared" si="2"/>
        <v>10286.870447940002</v>
      </c>
      <c r="U24">
        <f t="shared" si="3"/>
        <v>54251.167393439857</v>
      </c>
    </row>
    <row r="25" spans="1:21" ht="15.75" customHeight="1" x14ac:dyDescent="0.25">
      <c r="A25" s="4" t="s">
        <v>57</v>
      </c>
      <c r="B25" s="4" t="s">
        <v>50</v>
      </c>
      <c r="C25" s="4" t="s">
        <v>5</v>
      </c>
      <c r="D25" s="4" t="s">
        <v>13</v>
      </c>
      <c r="E25" s="4">
        <v>706.37</v>
      </c>
      <c r="F25" s="4">
        <v>6</v>
      </c>
      <c r="G25" s="4">
        <v>0</v>
      </c>
      <c r="H25" s="5">
        <v>45416</v>
      </c>
      <c r="I25" s="4">
        <v>176.59</v>
      </c>
      <c r="J25" s="4" t="str" cm="1">
        <f t="array" ref="J25">IFERROR(INDEX(B:B,MATCH(IF(E25&gt;1500,E25,"false"),E:E,0),0),"is not high value customer")</f>
        <v>is not high value customer</v>
      </c>
      <c r="L25" s="17">
        <v>0.54513888888888884</v>
      </c>
      <c r="Q25">
        <f t="shared" si="0"/>
        <v>-269.71879999999965</v>
      </c>
      <c r="R25">
        <f t="shared" si="1"/>
        <v>-164.84505000000004</v>
      </c>
      <c r="S25">
        <f t="shared" si="2"/>
        <v>44461.809071939955</v>
      </c>
      <c r="U25">
        <f t="shared" si="3"/>
        <v>72748.231073439805</v>
      </c>
    </row>
    <row r="26" spans="1:21" ht="15.75" customHeight="1" x14ac:dyDescent="0.25">
      <c r="A26" s="4" t="s">
        <v>38</v>
      </c>
      <c r="B26" s="4" t="s">
        <v>50</v>
      </c>
      <c r="C26" s="4" t="s">
        <v>5</v>
      </c>
      <c r="D26" s="4" t="s">
        <v>15</v>
      </c>
      <c r="E26" s="4">
        <v>925.31</v>
      </c>
      <c r="F26" s="4">
        <v>8</v>
      </c>
      <c r="G26" s="4">
        <v>0.1</v>
      </c>
      <c r="H26" s="5">
        <v>45418</v>
      </c>
      <c r="I26" s="4">
        <v>374.75</v>
      </c>
      <c r="J26" s="4" t="str" cm="1">
        <f t="array" ref="J26">IFERROR(INDEX(B:B,MATCH(IF(E26&gt;1500,E26,"false"),E:E,0),0),"is not high value customer")</f>
        <v>is not high value customer</v>
      </c>
      <c r="L26" s="17">
        <v>0.54513888888888884</v>
      </c>
      <c r="Q26">
        <f t="shared" si="0"/>
        <v>-50.778799999999706</v>
      </c>
      <c r="R26">
        <f t="shared" si="1"/>
        <v>33.314949999999953</v>
      </c>
      <c r="S26">
        <f t="shared" si="2"/>
        <v>-1691.6931830599879</v>
      </c>
      <c r="U26">
        <f t="shared" si="3"/>
        <v>2578.4865294399701</v>
      </c>
    </row>
    <row r="27" spans="1:21" ht="15.75" customHeight="1" x14ac:dyDescent="0.25">
      <c r="A27" s="4" t="s">
        <v>53</v>
      </c>
      <c r="B27" s="4" t="s">
        <v>67</v>
      </c>
      <c r="C27" s="4" t="s">
        <v>8</v>
      </c>
      <c r="D27" s="4" t="s">
        <v>13</v>
      </c>
      <c r="E27" s="4">
        <v>1173.1199999999999</v>
      </c>
      <c r="F27" s="4">
        <v>18</v>
      </c>
      <c r="G27" s="4">
        <v>0</v>
      </c>
      <c r="H27" s="5">
        <v>45418</v>
      </c>
      <c r="I27" s="4">
        <v>293.27999999999997</v>
      </c>
      <c r="J27" s="4" t="str" cm="1">
        <f t="array" ref="J27">IFERROR(INDEX(B:B,MATCH(IF(E27&gt;1500,E27,"false"),E:E,0),0),"is not high value customer")</f>
        <v>is not high value customer</v>
      </c>
      <c r="L27" s="17">
        <v>0.54513888888888884</v>
      </c>
      <c r="Q27">
        <f t="shared" si="0"/>
        <v>197.03120000000024</v>
      </c>
      <c r="R27">
        <f t="shared" si="1"/>
        <v>-48.155050000000074</v>
      </c>
      <c r="S27">
        <f t="shared" si="2"/>
        <v>-9488.0472875600262</v>
      </c>
      <c r="U27">
        <f t="shared" si="3"/>
        <v>38821.293773440091</v>
      </c>
    </row>
    <row r="28" spans="1:21" ht="15.75" customHeight="1" x14ac:dyDescent="0.25">
      <c r="A28" s="4" t="s">
        <v>43</v>
      </c>
      <c r="B28" s="4" t="s">
        <v>68</v>
      </c>
      <c r="C28" s="4" t="s">
        <v>7</v>
      </c>
      <c r="D28" s="4" t="s">
        <v>14</v>
      </c>
      <c r="E28" s="4">
        <v>675.54</v>
      </c>
      <c r="F28" s="4">
        <v>17</v>
      </c>
      <c r="G28" s="4">
        <v>0</v>
      </c>
      <c r="H28" s="5">
        <v>45420</v>
      </c>
      <c r="I28" s="4">
        <v>236.44</v>
      </c>
      <c r="J28" s="4" t="str" cm="1">
        <f t="array" ref="J28">IFERROR(INDEX(B:B,MATCH(IF(E28&gt;1500,E28,"false"),E:E,0),0),"is not high value customer")</f>
        <v>is not high value customer</v>
      </c>
      <c r="L28" s="17">
        <v>0.54513888888888884</v>
      </c>
      <c r="Q28">
        <f t="shared" si="0"/>
        <v>-300.54879999999969</v>
      </c>
      <c r="R28">
        <f t="shared" si="1"/>
        <v>-104.99505000000005</v>
      </c>
      <c r="S28">
        <f t="shared" si="2"/>
        <v>31556.136283439981</v>
      </c>
      <c r="U28">
        <f t="shared" si="3"/>
        <v>90329.581181439818</v>
      </c>
    </row>
    <row r="29" spans="1:21" ht="15.75" customHeight="1" x14ac:dyDescent="0.25">
      <c r="A29" s="4" t="s">
        <v>45</v>
      </c>
      <c r="B29" s="4" t="s">
        <v>39</v>
      </c>
      <c r="C29" s="4" t="s">
        <v>5</v>
      </c>
      <c r="D29" s="4" t="s">
        <v>11</v>
      </c>
      <c r="E29" s="4">
        <v>939.09</v>
      </c>
      <c r="F29" s="4">
        <v>2</v>
      </c>
      <c r="G29" s="4">
        <v>0.05</v>
      </c>
      <c r="H29" s="5">
        <v>45422</v>
      </c>
      <c r="I29" s="4">
        <v>356.85</v>
      </c>
      <c r="J29" s="4" t="str" cm="1">
        <f t="array" ref="J29">IFERROR(INDEX(B:B,MATCH(IF(E29&gt;1500,E29,"false"),E:E,0),0),"is not high value customer")</f>
        <v>is not high value customer</v>
      </c>
      <c r="L29" s="17">
        <v>0.54513888888888884</v>
      </c>
      <c r="Q29">
        <f t="shared" si="0"/>
        <v>-36.998799999999619</v>
      </c>
      <c r="R29">
        <f t="shared" si="1"/>
        <v>15.414949999999976</v>
      </c>
      <c r="S29">
        <f t="shared" si="2"/>
        <v>-570.33465205999323</v>
      </c>
      <c r="U29">
        <f t="shared" si="3"/>
        <v>1368.9112014399718</v>
      </c>
    </row>
    <row r="30" spans="1:21" ht="15.75" customHeight="1" x14ac:dyDescent="0.25">
      <c r="A30" s="4" t="s">
        <v>69</v>
      </c>
      <c r="B30" s="4" t="s">
        <v>70</v>
      </c>
      <c r="C30" s="4" t="s">
        <v>6</v>
      </c>
      <c r="D30" s="4" t="s">
        <v>15</v>
      </c>
      <c r="E30" s="4">
        <v>983.34</v>
      </c>
      <c r="F30" s="4">
        <v>19</v>
      </c>
      <c r="G30" s="4">
        <v>0.1</v>
      </c>
      <c r="H30" s="5">
        <v>45426</v>
      </c>
      <c r="I30" s="4">
        <v>398.25</v>
      </c>
      <c r="J30" s="4" t="str" cm="1">
        <f t="array" ref="J30">IFERROR(INDEX(B:B,MATCH(IF(E30&gt;1500,E30,"false"),E:E,0),0),"is not high value customer")</f>
        <v>is not high value customer</v>
      </c>
      <c r="L30" s="17">
        <v>0.54513888888888884</v>
      </c>
      <c r="Q30">
        <f t="shared" si="0"/>
        <v>7.2512000000003809</v>
      </c>
      <c r="R30">
        <f t="shared" si="1"/>
        <v>56.814949999999953</v>
      </c>
      <c r="S30">
        <f t="shared" si="2"/>
        <v>411.97656544002132</v>
      </c>
      <c r="U30">
        <f t="shared" si="3"/>
        <v>52.579901440005521</v>
      </c>
    </row>
    <row r="31" spans="1:21" ht="15.75" customHeight="1" x14ac:dyDescent="0.25">
      <c r="A31" s="4" t="s">
        <v>69</v>
      </c>
      <c r="B31" s="4" t="s">
        <v>44</v>
      </c>
      <c r="C31" s="4" t="s">
        <v>8</v>
      </c>
      <c r="D31" s="4" t="s">
        <v>13</v>
      </c>
      <c r="E31" s="4">
        <v>801.21</v>
      </c>
      <c r="F31" s="4">
        <v>3</v>
      </c>
      <c r="G31" s="4">
        <v>0.2</v>
      </c>
      <c r="H31" s="5">
        <v>45426</v>
      </c>
      <c r="I31" s="4">
        <v>160.24</v>
      </c>
      <c r="J31" s="4" t="str" cm="1">
        <f t="array" ref="J31">IFERROR(INDEX(B:B,MATCH(IF(E31&gt;1500,E31,"false"),E:E,0),0),"is not high value customer")</f>
        <v>is not high value customer</v>
      </c>
      <c r="L31" s="17">
        <v>0.54513888888888884</v>
      </c>
      <c r="Q31">
        <f t="shared" si="0"/>
        <v>-174.87879999999961</v>
      </c>
      <c r="R31">
        <f t="shared" si="1"/>
        <v>-181.19505000000004</v>
      </c>
      <c r="S31">
        <f t="shared" si="2"/>
        <v>31687.172909939938</v>
      </c>
      <c r="U31">
        <f t="shared" si="3"/>
        <v>30582.594689439866</v>
      </c>
    </row>
    <row r="32" spans="1:21" ht="15.75" customHeight="1" x14ac:dyDescent="0.25">
      <c r="A32" s="4" t="s">
        <v>71</v>
      </c>
      <c r="B32" s="4" t="s">
        <v>72</v>
      </c>
      <c r="C32" s="4" t="s">
        <v>7</v>
      </c>
      <c r="D32" s="4" t="s">
        <v>13</v>
      </c>
      <c r="E32" s="4">
        <v>1450.71</v>
      </c>
      <c r="F32" s="4">
        <v>5</v>
      </c>
      <c r="G32" s="4">
        <v>0.1</v>
      </c>
      <c r="H32" s="5">
        <v>45427</v>
      </c>
      <c r="I32" s="4">
        <v>326.41000000000003</v>
      </c>
      <c r="J32" s="4" t="str" cm="1">
        <f t="array" ref="J32">IFERROR(INDEX(B:B,MATCH(IF(E32&gt;1500,E32,"false"),E:E,0),0),"is not high value customer")</f>
        <v>is not high value customer</v>
      </c>
      <c r="L32" s="17">
        <v>0.54513888888888884</v>
      </c>
      <c r="Q32">
        <f t="shared" si="0"/>
        <v>474.62120000000039</v>
      </c>
      <c r="R32">
        <f t="shared" si="1"/>
        <v>-15.025050000000022</v>
      </c>
      <c r="S32">
        <f t="shared" si="2"/>
        <v>-7131.2072610600162</v>
      </c>
      <c r="U32">
        <f t="shared" si="3"/>
        <v>225265.28348944036</v>
      </c>
    </row>
    <row r="33" spans="1:21" ht="15.75" customHeight="1" x14ac:dyDescent="0.25">
      <c r="A33" s="4" t="s">
        <v>66</v>
      </c>
      <c r="B33" s="4" t="s">
        <v>73</v>
      </c>
      <c r="C33" s="4" t="s">
        <v>5</v>
      </c>
      <c r="D33" s="4" t="s">
        <v>11</v>
      </c>
      <c r="E33" s="4">
        <v>1023.21</v>
      </c>
      <c r="F33" s="4">
        <v>18</v>
      </c>
      <c r="G33" s="4">
        <v>0.05</v>
      </c>
      <c r="H33" s="5">
        <v>45428</v>
      </c>
      <c r="I33" s="4">
        <v>388.82</v>
      </c>
      <c r="J33" s="4" t="str" cm="1">
        <f t="array" ref="J33">IFERROR(INDEX(B:B,MATCH(IF(E33&gt;1500,E33,"false"),E:E,0),0),"is not high value customer")</f>
        <v>is not high value customer</v>
      </c>
      <c r="L33" s="17">
        <v>0.54513888888888884</v>
      </c>
      <c r="Q33">
        <f t="shared" si="0"/>
        <v>47.121200000000385</v>
      </c>
      <c r="R33">
        <f t="shared" si="1"/>
        <v>47.384949999999947</v>
      </c>
      <c r="S33">
        <f t="shared" si="2"/>
        <v>2232.8357059400159</v>
      </c>
      <c r="U33">
        <f t="shared" si="3"/>
        <v>2220.4074894400364</v>
      </c>
    </row>
    <row r="34" spans="1:21" ht="15.75" customHeight="1" x14ac:dyDescent="0.25">
      <c r="A34" s="4" t="s">
        <v>47</v>
      </c>
      <c r="B34" s="4" t="s">
        <v>64</v>
      </c>
      <c r="C34" s="4" t="s">
        <v>9</v>
      </c>
      <c r="D34" s="4" t="s">
        <v>14</v>
      </c>
      <c r="E34" s="4">
        <v>853.72</v>
      </c>
      <c r="F34" s="4">
        <v>5</v>
      </c>
      <c r="G34" s="4">
        <v>0.15</v>
      </c>
      <c r="H34" s="5">
        <v>45428</v>
      </c>
      <c r="I34" s="4">
        <v>253.98</v>
      </c>
      <c r="J34" s="4" t="str" cm="1">
        <f t="array" ref="J34">IFERROR(INDEX(B:B,MATCH(IF(E34&gt;1500,E34,"false"),E:E,0),0),"is not high value customer")</f>
        <v>is not high value customer</v>
      </c>
      <c r="L34" s="17">
        <v>0.54513888888888884</v>
      </c>
      <c r="Q34">
        <f t="shared" si="0"/>
        <v>-122.36879999999962</v>
      </c>
      <c r="R34">
        <f t="shared" si="1"/>
        <v>-87.455050000000057</v>
      </c>
      <c r="S34">
        <f t="shared" si="2"/>
        <v>10701.769522439974</v>
      </c>
      <c r="U34">
        <f t="shared" si="3"/>
        <v>14974.123213439909</v>
      </c>
    </row>
    <row r="35" spans="1:21" ht="15.75" customHeight="1" x14ac:dyDescent="0.25">
      <c r="A35" s="4" t="s">
        <v>74</v>
      </c>
      <c r="B35" s="4" t="s">
        <v>60</v>
      </c>
      <c r="C35" s="4" t="s">
        <v>8</v>
      </c>
      <c r="D35" s="4" t="s">
        <v>13</v>
      </c>
      <c r="E35" s="4">
        <v>967.89</v>
      </c>
      <c r="F35" s="4">
        <v>10</v>
      </c>
      <c r="G35" s="4">
        <v>0.1</v>
      </c>
      <c r="H35" s="5">
        <v>45429</v>
      </c>
      <c r="I35" s="4">
        <v>217.78</v>
      </c>
      <c r="J35" s="4" t="str" cm="1">
        <f t="array" ref="J35">IFERROR(INDEX(B:B,MATCH(IF(E35&gt;1500,E35,"false"),E:E,0),0),"is not high value customer")</f>
        <v>is not high value customer</v>
      </c>
      <c r="L35" s="17">
        <v>0.54513888888888884</v>
      </c>
      <c r="Q35">
        <f t="shared" si="0"/>
        <v>-8.1987999999996646</v>
      </c>
      <c r="R35">
        <f t="shared" si="1"/>
        <v>-123.65505000000005</v>
      </c>
      <c r="S35">
        <f t="shared" si="2"/>
        <v>1013.8230239399589</v>
      </c>
      <c r="U35">
        <f t="shared" si="3"/>
        <v>67.220321439994507</v>
      </c>
    </row>
    <row r="36" spans="1:21" ht="15.75" customHeight="1" x14ac:dyDescent="0.25">
      <c r="A36" s="4" t="s">
        <v>75</v>
      </c>
      <c r="B36" s="4" t="s">
        <v>70</v>
      </c>
      <c r="C36" s="4" t="s">
        <v>7</v>
      </c>
      <c r="D36" s="4" t="s">
        <v>15</v>
      </c>
      <c r="E36" s="4">
        <v>1200.9000000000001</v>
      </c>
      <c r="F36" s="4">
        <v>14</v>
      </c>
      <c r="G36" s="4">
        <v>0.05</v>
      </c>
      <c r="H36" s="5">
        <v>45429</v>
      </c>
      <c r="I36" s="4">
        <v>513.38</v>
      </c>
      <c r="J36" s="4" t="str" cm="1">
        <f t="array" ref="J36">IFERROR(INDEX(B:B,MATCH(IF(E36&gt;1500,E36,"false"),E:E,0),0),"is not high value customer")</f>
        <v>is not high value customer</v>
      </c>
      <c r="L36" s="17">
        <v>0.54513888888888884</v>
      </c>
      <c r="Q36">
        <f t="shared" si="0"/>
        <v>224.81120000000044</v>
      </c>
      <c r="R36">
        <f t="shared" si="1"/>
        <v>171.94494999999995</v>
      </c>
      <c r="S36">
        <f t="shared" si="2"/>
        <v>38655.150543440061</v>
      </c>
      <c r="U36">
        <f t="shared" si="3"/>
        <v>50540.0756454402</v>
      </c>
    </row>
    <row r="37" spans="1:21" ht="15.75" customHeight="1" x14ac:dyDescent="0.25">
      <c r="A37" s="4" t="s">
        <v>38</v>
      </c>
      <c r="B37" s="4" t="s">
        <v>46</v>
      </c>
      <c r="C37" s="4" t="s">
        <v>9</v>
      </c>
      <c r="D37" s="4" t="s">
        <v>11</v>
      </c>
      <c r="E37" s="4">
        <v>472.38</v>
      </c>
      <c r="F37" s="4">
        <v>12</v>
      </c>
      <c r="G37" s="4">
        <v>0.2</v>
      </c>
      <c r="H37" s="5">
        <v>45429</v>
      </c>
      <c r="I37" s="4">
        <v>151.16</v>
      </c>
      <c r="J37" s="4" t="str" cm="1">
        <f t="array" ref="J37">IFERROR(INDEX(B:B,MATCH(IF(E37&gt;1500,E37,"false"),E:E,0),0),"is not high value customer")</f>
        <v>is not high value customer</v>
      </c>
      <c r="L37" s="17">
        <v>0.54513888888888884</v>
      </c>
      <c r="Q37">
        <f t="shared" si="0"/>
        <v>-503.70879999999966</v>
      </c>
      <c r="R37">
        <f t="shared" si="1"/>
        <v>-190.27505000000005</v>
      </c>
      <c r="S37">
        <f t="shared" si="2"/>
        <v>95843.217105439966</v>
      </c>
      <c r="U37">
        <f t="shared" si="3"/>
        <v>253722.55519743965</v>
      </c>
    </row>
    <row r="38" spans="1:21" ht="15.75" customHeight="1" x14ac:dyDescent="0.25">
      <c r="A38" s="4" t="s">
        <v>36</v>
      </c>
      <c r="B38" s="4" t="s">
        <v>72</v>
      </c>
      <c r="C38" s="4" t="s">
        <v>6</v>
      </c>
      <c r="D38" s="4" t="s">
        <v>15</v>
      </c>
      <c r="E38" s="4">
        <v>840.92</v>
      </c>
      <c r="F38" s="4">
        <v>9</v>
      </c>
      <c r="G38" s="4">
        <v>0.05</v>
      </c>
      <c r="H38" s="5">
        <v>45429</v>
      </c>
      <c r="I38" s="4">
        <v>359.49</v>
      </c>
      <c r="J38" s="4" t="str" cm="1">
        <f t="array" ref="J38">IFERROR(INDEX(B:B,MATCH(IF(E38&gt;1500,E38,"false"),E:E,0),0),"is not high value customer")</f>
        <v>is not high value customer</v>
      </c>
      <c r="L38" s="17">
        <v>0.54513888888888884</v>
      </c>
      <c r="Q38">
        <f t="shared" si="0"/>
        <v>-135.16879999999969</v>
      </c>
      <c r="R38">
        <f t="shared" si="1"/>
        <v>18.054949999999963</v>
      </c>
      <c r="S38">
        <f t="shared" si="2"/>
        <v>-2440.4659255599895</v>
      </c>
      <c r="U38">
        <f t="shared" si="3"/>
        <v>18270.604493439918</v>
      </c>
    </row>
    <row r="39" spans="1:21" ht="15.75" customHeight="1" x14ac:dyDescent="0.25">
      <c r="A39" s="4" t="s">
        <v>69</v>
      </c>
      <c r="B39" s="4" t="s">
        <v>65</v>
      </c>
      <c r="C39" s="4" t="s">
        <v>5</v>
      </c>
      <c r="D39" s="4" t="s">
        <v>14</v>
      </c>
      <c r="E39" s="4">
        <v>1410.06</v>
      </c>
      <c r="F39" s="4">
        <v>11</v>
      </c>
      <c r="G39" s="4">
        <v>0.05</v>
      </c>
      <c r="H39" s="5">
        <v>45434</v>
      </c>
      <c r="I39" s="4">
        <v>468.84</v>
      </c>
      <c r="J39" s="4" t="str" cm="1">
        <f t="array" ref="J39">IFERROR(INDEX(B:B,MATCH(IF(E39&gt;1500,E39,"false"),E:E,0),0),"is not high value customer")</f>
        <v>is not high value customer</v>
      </c>
      <c r="L39" s="17">
        <v>0.54513888888888884</v>
      </c>
      <c r="Q39">
        <f t="shared" si="0"/>
        <v>433.97120000000029</v>
      </c>
      <c r="R39">
        <f t="shared" si="1"/>
        <v>127.40494999999993</v>
      </c>
      <c r="S39">
        <f t="shared" si="2"/>
        <v>55290.079037440009</v>
      </c>
      <c r="U39">
        <f t="shared" si="3"/>
        <v>188331.00242944027</v>
      </c>
    </row>
    <row r="40" spans="1:21" ht="15.75" customHeight="1" x14ac:dyDescent="0.25">
      <c r="A40" s="4" t="s">
        <v>61</v>
      </c>
      <c r="B40" s="4" t="s">
        <v>76</v>
      </c>
      <c r="C40" s="4" t="s">
        <v>5</v>
      </c>
      <c r="D40" s="4" t="s">
        <v>14</v>
      </c>
      <c r="E40" s="4">
        <v>773.09</v>
      </c>
      <c r="F40" s="4">
        <v>13</v>
      </c>
      <c r="G40" s="4">
        <v>0.15</v>
      </c>
      <c r="H40" s="5">
        <v>45434</v>
      </c>
      <c r="I40" s="4">
        <v>229.99</v>
      </c>
      <c r="J40" s="4" t="str" cm="1">
        <f t="array" ref="J40">IFERROR(INDEX(B:B,MATCH(IF(E40&gt;1500,E40,"false"),E:E,0),0),"is not high value customer")</f>
        <v>is not high value customer</v>
      </c>
      <c r="L40" s="17">
        <v>0.54513888888888884</v>
      </c>
      <c r="Q40">
        <f t="shared" si="0"/>
        <v>-202.99879999999962</v>
      </c>
      <c r="R40">
        <f t="shared" si="1"/>
        <v>-111.44505000000004</v>
      </c>
      <c r="S40">
        <f t="shared" si="2"/>
        <v>22623.211415939964</v>
      </c>
      <c r="U40">
        <f t="shared" si="3"/>
        <v>41208.512801439843</v>
      </c>
    </row>
    <row r="41" spans="1:21" ht="15.75" customHeight="1" x14ac:dyDescent="0.25">
      <c r="A41" s="4" t="s">
        <v>77</v>
      </c>
      <c r="B41" s="4" t="s">
        <v>78</v>
      </c>
      <c r="C41" s="4" t="s">
        <v>6</v>
      </c>
      <c r="D41" s="4" t="s">
        <v>11</v>
      </c>
      <c r="E41" s="4">
        <v>580.42999999999995</v>
      </c>
      <c r="F41" s="4">
        <v>19</v>
      </c>
      <c r="G41" s="4">
        <v>0.15</v>
      </c>
      <c r="H41" s="5">
        <v>45435</v>
      </c>
      <c r="I41" s="4">
        <v>197.35</v>
      </c>
      <c r="J41" s="4" t="str" cm="1">
        <f t="array" ref="J41">IFERROR(INDEX(B:B,MATCH(IF(E41&gt;1500,E41,"false"),E:E,0),0),"is not high value customer")</f>
        <v>is not high value customer</v>
      </c>
      <c r="L41" s="17">
        <v>0.54513888888888884</v>
      </c>
      <c r="Q41">
        <f t="shared" si="0"/>
        <v>-395.6587999999997</v>
      </c>
      <c r="R41">
        <f t="shared" si="1"/>
        <v>-144.08505000000005</v>
      </c>
      <c r="S41">
        <f t="shared" si="2"/>
        <v>57008.517980939978</v>
      </c>
      <c r="U41">
        <f t="shared" si="3"/>
        <v>156545.88601743977</v>
      </c>
    </row>
    <row r="42" spans="1:21" ht="15.75" customHeight="1" x14ac:dyDescent="0.25">
      <c r="A42" s="4" t="s">
        <v>42</v>
      </c>
      <c r="B42" s="4" t="s">
        <v>59</v>
      </c>
      <c r="C42" s="4" t="s">
        <v>8</v>
      </c>
      <c r="D42" s="4" t="s">
        <v>11</v>
      </c>
      <c r="E42" s="4">
        <v>1151.21</v>
      </c>
      <c r="F42" s="4">
        <v>15</v>
      </c>
      <c r="G42" s="4">
        <v>0.1</v>
      </c>
      <c r="H42" s="5">
        <v>45445</v>
      </c>
      <c r="I42" s="4">
        <v>414.44</v>
      </c>
      <c r="J42" s="4" t="str" cm="1">
        <f t="array" ref="J42">IFERROR(INDEX(B:B,MATCH(IF(E42&gt;1500,E42,"false"),E:E,0),0),"is not high value customer")</f>
        <v>is not high value customer</v>
      </c>
      <c r="L42" s="17">
        <v>0.54513888888888884</v>
      </c>
      <c r="Q42">
        <f t="shared" si="0"/>
        <v>175.12120000000039</v>
      </c>
      <c r="R42">
        <f t="shared" si="1"/>
        <v>73.004949999999951</v>
      </c>
      <c r="S42">
        <f t="shared" si="2"/>
        <v>12784.71444994002</v>
      </c>
      <c r="U42">
        <f t="shared" si="3"/>
        <v>30667.434689440135</v>
      </c>
    </row>
    <row r="43" spans="1:21" ht="15.75" customHeight="1" x14ac:dyDescent="0.25">
      <c r="A43" s="4" t="s">
        <v>69</v>
      </c>
      <c r="B43" s="4" t="s">
        <v>44</v>
      </c>
      <c r="C43" s="4" t="s">
        <v>5</v>
      </c>
      <c r="D43" s="4" t="s">
        <v>15</v>
      </c>
      <c r="E43" s="4">
        <v>1025.98</v>
      </c>
      <c r="F43" s="4">
        <v>5</v>
      </c>
      <c r="G43" s="4">
        <v>0.2</v>
      </c>
      <c r="H43" s="5">
        <v>45447</v>
      </c>
      <c r="I43" s="4">
        <v>369.35</v>
      </c>
      <c r="J43" s="4" t="str" cm="1">
        <f t="array" ref="J43">IFERROR(INDEX(B:B,MATCH(IF(E43&gt;1500,E43,"false"),E:E,0),0),"is not high value customer")</f>
        <v>is not high value customer</v>
      </c>
      <c r="L43" s="17">
        <v>0.54513888888888884</v>
      </c>
      <c r="Q43">
        <f t="shared" si="0"/>
        <v>49.891200000000367</v>
      </c>
      <c r="R43">
        <f t="shared" si="1"/>
        <v>27.914949999999976</v>
      </c>
      <c r="S43">
        <f t="shared" si="2"/>
        <v>1392.7103534400092</v>
      </c>
      <c r="U43">
        <f t="shared" si="3"/>
        <v>2489.1318374400366</v>
      </c>
    </row>
    <row r="44" spans="1:21" ht="15.75" customHeight="1" x14ac:dyDescent="0.25">
      <c r="A44" s="4" t="s">
        <v>57</v>
      </c>
      <c r="B44" s="4" t="s">
        <v>73</v>
      </c>
      <c r="C44" s="4" t="s">
        <v>6</v>
      </c>
      <c r="D44" s="4" t="s">
        <v>15</v>
      </c>
      <c r="E44" s="4">
        <v>556.41999999999996</v>
      </c>
      <c r="F44" s="4">
        <v>11</v>
      </c>
      <c r="G44" s="4">
        <v>0.15</v>
      </c>
      <c r="H44" s="5">
        <v>45447</v>
      </c>
      <c r="I44" s="4">
        <v>212.83</v>
      </c>
      <c r="J44" s="4" t="str" cm="1">
        <f t="array" ref="J44">IFERROR(INDEX(B:B,MATCH(IF(E44&gt;1500,E44,"false"),E:E,0),0),"is not high value customer")</f>
        <v>is not high value customer</v>
      </c>
      <c r="L44" s="17">
        <v>0.54513888888888884</v>
      </c>
      <c r="Q44">
        <f t="shared" si="0"/>
        <v>-419.66879999999969</v>
      </c>
      <c r="R44">
        <f t="shared" si="1"/>
        <v>-128.60505000000003</v>
      </c>
      <c r="S44">
        <f t="shared" si="2"/>
        <v>53971.527007439974</v>
      </c>
      <c r="U44">
        <f t="shared" si="3"/>
        <v>176121.90169343975</v>
      </c>
    </row>
    <row r="45" spans="1:21" ht="15.75" customHeight="1" x14ac:dyDescent="0.25">
      <c r="A45" s="4" t="s">
        <v>74</v>
      </c>
      <c r="B45" s="4" t="s">
        <v>44</v>
      </c>
      <c r="C45" s="4" t="s">
        <v>5</v>
      </c>
      <c r="D45" s="4" t="s">
        <v>11</v>
      </c>
      <c r="E45" s="4">
        <v>840.85</v>
      </c>
      <c r="F45" s="4">
        <v>19</v>
      </c>
      <c r="G45" s="4">
        <v>0.1</v>
      </c>
      <c r="H45" s="5">
        <v>45448</v>
      </c>
      <c r="I45" s="4">
        <v>302.70999999999998</v>
      </c>
      <c r="J45" s="4" t="str" cm="1">
        <f t="array" ref="J45">IFERROR(INDEX(B:B,MATCH(IF(E45&gt;1500,E45,"false"),E:E,0),0),"is not high value customer")</f>
        <v>is not high value customer</v>
      </c>
      <c r="L45" s="17">
        <v>0.54513888888888884</v>
      </c>
      <c r="Q45">
        <f t="shared" si="0"/>
        <v>-135.23879999999963</v>
      </c>
      <c r="R45">
        <f t="shared" si="1"/>
        <v>-38.725050000000067</v>
      </c>
      <c r="S45">
        <f t="shared" si="2"/>
        <v>5237.1292919399948</v>
      </c>
      <c r="U45">
        <f t="shared" si="3"/>
        <v>18289.533025439898</v>
      </c>
    </row>
    <row r="46" spans="1:21" ht="15.75" customHeight="1" x14ac:dyDescent="0.25">
      <c r="A46" s="4" t="s">
        <v>49</v>
      </c>
      <c r="B46" s="4" t="s">
        <v>78</v>
      </c>
      <c r="C46" s="4" t="s">
        <v>7</v>
      </c>
      <c r="D46" s="4" t="s">
        <v>14</v>
      </c>
      <c r="E46" s="4">
        <v>1227.25</v>
      </c>
      <c r="F46" s="4">
        <v>12</v>
      </c>
      <c r="G46" s="4">
        <v>0.15</v>
      </c>
      <c r="H46" s="5">
        <v>45448</v>
      </c>
      <c r="I46" s="4">
        <v>365.11</v>
      </c>
      <c r="J46" s="4" t="str" cm="1">
        <f t="array" ref="J46">IFERROR(INDEX(B:B,MATCH(IF(E46&gt;1500,E46,"false"),E:E,0),0),"is not high value customer")</f>
        <v>is not high value customer</v>
      </c>
      <c r="L46" s="17">
        <v>0.54513888888888884</v>
      </c>
      <c r="Q46">
        <f t="shared" si="0"/>
        <v>251.16120000000035</v>
      </c>
      <c r="R46">
        <f t="shared" si="1"/>
        <v>23.674949999999967</v>
      </c>
      <c r="S46">
        <f t="shared" si="2"/>
        <v>5946.2288519399999</v>
      </c>
      <c r="U46">
        <f t="shared" si="3"/>
        <v>63081.948385440177</v>
      </c>
    </row>
    <row r="47" spans="1:21" ht="15.75" customHeight="1" x14ac:dyDescent="0.25">
      <c r="A47" s="4" t="s">
        <v>40</v>
      </c>
      <c r="B47" s="4" t="s">
        <v>79</v>
      </c>
      <c r="C47" s="4" t="s">
        <v>5</v>
      </c>
      <c r="D47" s="4" t="s">
        <v>13</v>
      </c>
      <c r="E47" s="4">
        <v>856.7</v>
      </c>
      <c r="F47" s="4">
        <v>2</v>
      </c>
      <c r="G47" s="4">
        <v>0</v>
      </c>
      <c r="H47" s="5">
        <v>45449</v>
      </c>
      <c r="I47" s="4">
        <v>214.18</v>
      </c>
      <c r="J47" s="4" t="str" cm="1">
        <f t="array" ref="J47">IFERROR(INDEX(B:B,MATCH(IF(E47&gt;1500,E47,"false"),E:E,0),0),"is not high value customer")</f>
        <v>is not high value customer</v>
      </c>
      <c r="L47" s="17">
        <v>0.54513888888888884</v>
      </c>
      <c r="Q47">
        <f t="shared" si="0"/>
        <v>-119.38879999999961</v>
      </c>
      <c r="R47">
        <f t="shared" si="1"/>
        <v>-127.25505000000004</v>
      </c>
      <c r="S47">
        <f t="shared" si="2"/>
        <v>15192.827713439954</v>
      </c>
      <c r="U47">
        <f t="shared" si="3"/>
        <v>14253.685565439906</v>
      </c>
    </row>
    <row r="48" spans="1:21" ht="15.75" customHeight="1" x14ac:dyDescent="0.25">
      <c r="A48" s="4" t="s">
        <v>71</v>
      </c>
      <c r="B48" s="4" t="s">
        <v>73</v>
      </c>
      <c r="C48" s="4" t="s">
        <v>5</v>
      </c>
      <c r="D48" s="4" t="s">
        <v>15</v>
      </c>
      <c r="E48" s="4">
        <v>1225.42</v>
      </c>
      <c r="F48" s="4">
        <v>8</v>
      </c>
      <c r="G48" s="4">
        <v>0.15</v>
      </c>
      <c r="H48" s="5">
        <v>45449</v>
      </c>
      <c r="I48" s="4">
        <v>468.72</v>
      </c>
      <c r="J48" s="4" t="str" cm="1">
        <f t="array" ref="J48">IFERROR(INDEX(B:B,MATCH(IF(E48&gt;1500,E48,"false"),E:E,0),0),"is not high value customer")</f>
        <v>is not high value customer</v>
      </c>
      <c r="L48" s="17">
        <v>0.54513888888888884</v>
      </c>
      <c r="Q48">
        <f t="shared" si="0"/>
        <v>249.33120000000042</v>
      </c>
      <c r="R48">
        <f t="shared" si="1"/>
        <v>127.28494999999998</v>
      </c>
      <c r="S48">
        <f t="shared" si="2"/>
        <v>31736.109325440048</v>
      </c>
      <c r="U48">
        <f t="shared" si="3"/>
        <v>62166.047293440213</v>
      </c>
    </row>
    <row r="49" spans="1:21" ht="15.75" customHeight="1" x14ac:dyDescent="0.25">
      <c r="A49" s="4" t="s">
        <v>80</v>
      </c>
      <c r="B49" s="4" t="s">
        <v>50</v>
      </c>
      <c r="C49" s="4" t="s">
        <v>7</v>
      </c>
      <c r="D49" s="4" t="s">
        <v>15</v>
      </c>
      <c r="E49" s="4">
        <v>1001.57</v>
      </c>
      <c r="F49" s="4">
        <v>12</v>
      </c>
      <c r="G49" s="4">
        <v>0</v>
      </c>
      <c r="H49" s="5">
        <v>45450</v>
      </c>
      <c r="I49" s="4">
        <v>450.71</v>
      </c>
      <c r="J49" s="4" t="str" cm="1">
        <f t="array" ref="J49">IFERROR(INDEX(B:B,MATCH(IF(E49&gt;1500,E49,"false"),E:E,0),0),"is not high value customer")</f>
        <v>is not high value customer</v>
      </c>
      <c r="L49" s="17">
        <v>0.54513888888888884</v>
      </c>
      <c r="Q49">
        <f t="shared" si="0"/>
        <v>25.481200000000399</v>
      </c>
      <c r="R49">
        <f t="shared" si="1"/>
        <v>109.27494999999993</v>
      </c>
      <c r="S49">
        <f t="shared" si="2"/>
        <v>2784.4568559400418</v>
      </c>
      <c r="U49">
        <f t="shared" si="3"/>
        <v>649.29155344002038</v>
      </c>
    </row>
    <row r="50" spans="1:21" ht="15.75" customHeight="1" x14ac:dyDescent="0.25">
      <c r="A50" s="4" t="s">
        <v>74</v>
      </c>
      <c r="B50" s="4" t="s">
        <v>46</v>
      </c>
      <c r="C50" s="4" t="s">
        <v>6</v>
      </c>
      <c r="D50" s="4" t="s">
        <v>14</v>
      </c>
      <c r="E50" s="4">
        <v>1186.8499999999999</v>
      </c>
      <c r="F50" s="4">
        <v>19</v>
      </c>
      <c r="G50" s="4">
        <v>0.2</v>
      </c>
      <c r="H50" s="5">
        <v>45451</v>
      </c>
      <c r="I50" s="4">
        <v>332.32</v>
      </c>
      <c r="J50" s="4" t="str" cm="1">
        <f t="array" ref="J50">IFERROR(INDEX(B:B,MATCH(IF(E50&gt;1500,E50,"false"),E:E,0),0),"is not high value customer")</f>
        <v>is not high value customer</v>
      </c>
      <c r="L50" s="17">
        <v>0.54513888888888884</v>
      </c>
      <c r="Q50">
        <f t="shared" si="0"/>
        <v>210.76120000000026</v>
      </c>
      <c r="R50">
        <f t="shared" si="1"/>
        <v>-9.1150500000000534</v>
      </c>
      <c r="S50">
        <f t="shared" si="2"/>
        <v>-1921.0988760600137</v>
      </c>
      <c r="U50">
        <f t="shared" si="3"/>
        <v>44420.28342544011</v>
      </c>
    </row>
    <row r="51" spans="1:21" ht="15.75" customHeight="1" x14ac:dyDescent="0.25">
      <c r="A51" s="4" t="s">
        <v>61</v>
      </c>
      <c r="B51" s="4" t="s">
        <v>68</v>
      </c>
      <c r="C51" s="4" t="s">
        <v>8</v>
      </c>
      <c r="D51" s="4" t="s">
        <v>13</v>
      </c>
      <c r="E51" s="4">
        <v>775.45</v>
      </c>
      <c r="F51" s="4">
        <v>6</v>
      </c>
      <c r="G51" s="4">
        <v>0.1</v>
      </c>
      <c r="H51" s="5">
        <v>45457</v>
      </c>
      <c r="I51" s="4">
        <v>174.48</v>
      </c>
      <c r="J51" s="4" t="str" cm="1">
        <f t="array" ref="J51">IFERROR(INDEX(B:B,MATCH(IF(E51&gt;1500,E51,"false"),E:E,0),0),"is not high value customer")</f>
        <v>is not high value customer</v>
      </c>
      <c r="L51" s="17">
        <v>0.54513888888888884</v>
      </c>
      <c r="Q51">
        <f t="shared" si="0"/>
        <v>-200.63879999999961</v>
      </c>
      <c r="R51">
        <f t="shared" si="1"/>
        <v>-166.95505000000006</v>
      </c>
      <c r="S51">
        <f t="shared" si="2"/>
        <v>33497.660885939942</v>
      </c>
      <c r="U51">
        <f t="shared" si="3"/>
        <v>40255.928065439839</v>
      </c>
    </row>
    <row r="52" spans="1:21" ht="15.75" customHeight="1" x14ac:dyDescent="0.25">
      <c r="A52" s="4" t="s">
        <v>45</v>
      </c>
      <c r="B52" s="4" t="s">
        <v>52</v>
      </c>
      <c r="C52" s="4" t="s">
        <v>8</v>
      </c>
      <c r="D52" s="4" t="s">
        <v>13</v>
      </c>
      <c r="E52" s="4">
        <v>1021.47</v>
      </c>
      <c r="F52" s="4">
        <v>6</v>
      </c>
      <c r="G52" s="4">
        <v>0.05</v>
      </c>
      <c r="H52" s="5">
        <v>45461</v>
      </c>
      <c r="I52" s="4">
        <v>242.6</v>
      </c>
      <c r="J52" s="4" t="str" cm="1">
        <f t="array" ref="J52">IFERROR(INDEX(B:B,MATCH(IF(E52&gt;1500,E52,"false"),E:E,0),0),"is not high value customer")</f>
        <v>is not high value customer</v>
      </c>
      <c r="L52" s="17">
        <v>0.54513888888888884</v>
      </c>
      <c r="Q52">
        <f t="shared" si="0"/>
        <v>45.381200000000376</v>
      </c>
      <c r="R52">
        <f t="shared" si="1"/>
        <v>-98.835050000000052</v>
      </c>
      <c r="S52">
        <f t="shared" si="2"/>
        <v>-4485.2531710600397</v>
      </c>
      <c r="U52">
        <f t="shared" si="3"/>
        <v>2059.453313440034</v>
      </c>
    </row>
    <row r="53" spans="1:21" ht="15.75" customHeight="1" x14ac:dyDescent="0.25">
      <c r="A53" s="4" t="s">
        <v>75</v>
      </c>
      <c r="B53" s="4" t="s">
        <v>44</v>
      </c>
      <c r="C53" s="4" t="s">
        <v>8</v>
      </c>
      <c r="D53" s="4" t="s">
        <v>12</v>
      </c>
      <c r="E53" s="4">
        <v>1226.6199999999999</v>
      </c>
      <c r="F53" s="4">
        <v>7</v>
      </c>
      <c r="G53" s="4">
        <v>0.1</v>
      </c>
      <c r="H53" s="5">
        <v>45463</v>
      </c>
      <c r="I53" s="4">
        <v>551.98</v>
      </c>
      <c r="J53" s="4" t="str" cm="1">
        <f t="array" ref="J53">IFERROR(INDEX(B:B,MATCH(IF(E53&gt;1500,E53,"false"),E:E,0),0),"is not high value customer")</f>
        <v>is not high value customer</v>
      </c>
      <c r="L53" s="17">
        <v>0.54513888888888884</v>
      </c>
      <c r="Q53">
        <f t="shared" si="0"/>
        <v>250.53120000000024</v>
      </c>
      <c r="R53">
        <f t="shared" si="1"/>
        <v>210.54494999999997</v>
      </c>
      <c r="S53">
        <f t="shared" si="2"/>
        <v>52748.07897744004</v>
      </c>
      <c r="U53">
        <f t="shared" si="3"/>
        <v>62765.882173440121</v>
      </c>
    </row>
    <row r="54" spans="1:21" ht="15.75" customHeight="1" x14ac:dyDescent="0.25">
      <c r="A54" s="4" t="s">
        <v>43</v>
      </c>
      <c r="B54" s="4" t="s">
        <v>81</v>
      </c>
      <c r="C54" s="4" t="s">
        <v>8</v>
      </c>
      <c r="D54" s="4" t="s">
        <v>14</v>
      </c>
      <c r="E54" s="4">
        <v>1086.93</v>
      </c>
      <c r="F54" s="4">
        <v>2</v>
      </c>
      <c r="G54" s="4">
        <v>0</v>
      </c>
      <c r="H54" s="5">
        <v>45464</v>
      </c>
      <c r="I54" s="4">
        <v>380.43</v>
      </c>
      <c r="J54" s="4" t="str" cm="1">
        <f t="array" ref="J54">IFERROR(INDEX(B:B,MATCH(IF(E54&gt;1500,E54,"false"),E:E,0),0),"is not high value customer")</f>
        <v>is not high value customer</v>
      </c>
      <c r="L54" s="17">
        <v>0.54513888888888884</v>
      </c>
      <c r="Q54">
        <f t="shared" si="0"/>
        <v>110.84120000000041</v>
      </c>
      <c r="R54">
        <f t="shared" si="1"/>
        <v>38.99494999999996</v>
      </c>
      <c r="S54">
        <f t="shared" si="2"/>
        <v>4322.2470519400113</v>
      </c>
      <c r="U54">
        <f t="shared" si="3"/>
        <v>12285.771617440092</v>
      </c>
    </row>
    <row r="55" spans="1:21" ht="15.75" customHeight="1" x14ac:dyDescent="0.25">
      <c r="A55" s="4" t="s">
        <v>82</v>
      </c>
      <c r="B55" s="4" t="s">
        <v>65</v>
      </c>
      <c r="C55" s="4" t="s">
        <v>9</v>
      </c>
      <c r="D55" s="4" t="s">
        <v>11</v>
      </c>
      <c r="E55" s="4">
        <v>942.9</v>
      </c>
      <c r="F55" s="4">
        <v>18</v>
      </c>
      <c r="G55" s="4">
        <v>0.1</v>
      </c>
      <c r="H55" s="5">
        <v>45466</v>
      </c>
      <c r="I55" s="4">
        <v>339.44</v>
      </c>
      <c r="J55" s="4" t="str" cm="1">
        <f t="array" ref="J55">IFERROR(INDEX(B:B,MATCH(IF(E55&gt;1500,E55,"false"),E:E,0),0),"is not high value customer")</f>
        <v>is not high value customer</v>
      </c>
      <c r="L55" s="17">
        <v>0.54513888888888884</v>
      </c>
      <c r="Q55">
        <f t="shared" si="0"/>
        <v>-33.188799999999674</v>
      </c>
      <c r="R55">
        <f t="shared" si="1"/>
        <v>-1.9950500000000488</v>
      </c>
      <c r="S55">
        <f t="shared" si="2"/>
        <v>66.213315440000969</v>
      </c>
      <c r="U55">
        <f t="shared" si="3"/>
        <v>1101.4964454399783</v>
      </c>
    </row>
    <row r="56" spans="1:21" ht="15.75" customHeight="1" x14ac:dyDescent="0.25">
      <c r="A56" s="4" t="s">
        <v>51</v>
      </c>
      <c r="B56" s="4" t="s">
        <v>56</v>
      </c>
      <c r="C56" s="4" t="s">
        <v>7</v>
      </c>
      <c r="D56" s="4" t="s">
        <v>13</v>
      </c>
      <c r="E56" s="4">
        <v>818.8</v>
      </c>
      <c r="F56" s="4">
        <v>15</v>
      </c>
      <c r="G56" s="4">
        <v>0.15</v>
      </c>
      <c r="H56" s="5">
        <v>45468</v>
      </c>
      <c r="I56" s="4">
        <v>173.99</v>
      </c>
      <c r="J56" s="4" t="str" cm="1">
        <f t="array" ref="J56">IFERROR(INDEX(B:B,MATCH(IF(E56&gt;1500,E56,"false"),E:E,0),0),"is not high value customer")</f>
        <v>is not high value customer</v>
      </c>
      <c r="L56" s="17">
        <v>0.54513888888888884</v>
      </c>
      <c r="Q56">
        <f t="shared" si="0"/>
        <v>-157.2887999999997</v>
      </c>
      <c r="R56">
        <f t="shared" si="1"/>
        <v>-167.44505000000004</v>
      </c>
      <c r="S56">
        <f t="shared" si="2"/>
        <v>26337.230980439956</v>
      </c>
      <c r="U56">
        <f t="shared" si="3"/>
        <v>24739.766605439905</v>
      </c>
    </row>
    <row r="57" spans="1:21" ht="15.75" customHeight="1" x14ac:dyDescent="0.25">
      <c r="A57" s="4" t="s">
        <v>42</v>
      </c>
      <c r="B57" s="4" t="s">
        <v>39</v>
      </c>
      <c r="C57" s="4" t="s">
        <v>8</v>
      </c>
      <c r="D57" s="4" t="s">
        <v>14</v>
      </c>
      <c r="E57" s="4">
        <v>919.04</v>
      </c>
      <c r="F57" s="4">
        <v>10</v>
      </c>
      <c r="G57" s="4">
        <v>0.2</v>
      </c>
      <c r="H57" s="5">
        <v>45468</v>
      </c>
      <c r="I57" s="4">
        <v>257.33</v>
      </c>
      <c r="J57" s="4" t="str" cm="1">
        <f t="array" ref="J57">IFERROR(INDEX(B:B,MATCH(IF(E57&gt;1500,E57,"false"),E:E,0),0),"is not high value customer")</f>
        <v>is not high value customer</v>
      </c>
      <c r="L57" s="17">
        <v>0.54513888888888884</v>
      </c>
      <c r="Q57">
        <f t="shared" si="0"/>
        <v>-57.048799999999687</v>
      </c>
      <c r="R57">
        <f t="shared" si="1"/>
        <v>-84.105050000000062</v>
      </c>
      <c r="S57">
        <f t="shared" si="2"/>
        <v>4798.0921764399773</v>
      </c>
      <c r="U57">
        <f t="shared" si="3"/>
        <v>3254.5655814399643</v>
      </c>
    </row>
    <row r="58" spans="1:21" ht="15.75" customHeight="1" x14ac:dyDescent="0.25">
      <c r="A58" s="4" t="s">
        <v>43</v>
      </c>
      <c r="B58" s="4" t="s">
        <v>83</v>
      </c>
      <c r="C58" s="4" t="s">
        <v>5</v>
      </c>
      <c r="D58" s="4" t="s">
        <v>11</v>
      </c>
      <c r="E58" s="4">
        <v>973.26</v>
      </c>
      <c r="F58" s="4">
        <v>11</v>
      </c>
      <c r="G58" s="4">
        <v>0</v>
      </c>
      <c r="H58" s="5">
        <v>45470</v>
      </c>
      <c r="I58" s="4">
        <v>389.3</v>
      </c>
      <c r="J58" s="4" t="str" cm="1">
        <f t="array" ref="J58">IFERROR(INDEX(B:B,MATCH(IF(E58&gt;1500,E58,"false"),E:E,0),0),"is not high value customer")</f>
        <v>is not high value customer</v>
      </c>
      <c r="L58" s="17">
        <v>0.54513888888888884</v>
      </c>
      <c r="Q58">
        <f t="shared" si="0"/>
        <v>-2.82879999999966</v>
      </c>
      <c r="R58">
        <f t="shared" si="1"/>
        <v>47.864949999999965</v>
      </c>
      <c r="S58">
        <f t="shared" si="2"/>
        <v>-135.40037055998363</v>
      </c>
      <c r="U58">
        <f t="shared" si="3"/>
        <v>8.0021094399980761</v>
      </c>
    </row>
    <row r="59" spans="1:21" ht="15.75" customHeight="1" x14ac:dyDescent="0.25">
      <c r="A59" s="4" t="s">
        <v>58</v>
      </c>
      <c r="B59" s="4" t="s">
        <v>81</v>
      </c>
      <c r="C59" s="4" t="s">
        <v>7</v>
      </c>
      <c r="D59" s="4" t="s">
        <v>13</v>
      </c>
      <c r="E59" s="4">
        <v>741.61</v>
      </c>
      <c r="F59" s="4">
        <v>1</v>
      </c>
      <c r="G59" s="4">
        <v>0.2</v>
      </c>
      <c r="H59" s="5">
        <v>45471</v>
      </c>
      <c r="I59" s="4">
        <v>148.32</v>
      </c>
      <c r="J59" s="4" t="str" cm="1">
        <f t="array" ref="J59">IFERROR(INDEX(B:B,MATCH(IF(E59&gt;1500,E59,"false"),E:E,0),0),"is not high value customer")</f>
        <v>is not high value customer</v>
      </c>
      <c r="L59" s="17">
        <v>0.54513888888888884</v>
      </c>
      <c r="Q59">
        <f t="shared" si="0"/>
        <v>-234.47879999999964</v>
      </c>
      <c r="R59">
        <f t="shared" si="1"/>
        <v>-193.11505000000005</v>
      </c>
      <c r="S59">
        <f t="shared" si="2"/>
        <v>45281.385185939944</v>
      </c>
      <c r="U59">
        <f t="shared" si="3"/>
        <v>54980.307649439826</v>
      </c>
    </row>
    <row r="60" spans="1:21" ht="15.75" customHeight="1" x14ac:dyDescent="0.25">
      <c r="A60" s="4" t="s">
        <v>84</v>
      </c>
      <c r="B60" s="4" t="s">
        <v>56</v>
      </c>
      <c r="C60" s="4" t="s">
        <v>7</v>
      </c>
      <c r="D60" s="4" t="s">
        <v>11</v>
      </c>
      <c r="E60" s="4">
        <v>1248.82</v>
      </c>
      <c r="F60" s="4">
        <v>2</v>
      </c>
      <c r="G60" s="4">
        <v>0.1</v>
      </c>
      <c r="H60" s="5">
        <v>45473</v>
      </c>
      <c r="I60" s="4">
        <v>449.58</v>
      </c>
      <c r="J60" s="4" t="str" cm="1">
        <f t="array" ref="J60">IFERROR(INDEX(B:B,MATCH(IF(E60&gt;1500,E60,"false"),E:E,0),0),"is not high value customer")</f>
        <v>is not high value customer</v>
      </c>
      <c r="L60" s="17">
        <v>0.54513888888888884</v>
      </c>
      <c r="Q60">
        <f t="shared" si="0"/>
        <v>272.73120000000029</v>
      </c>
      <c r="R60">
        <f t="shared" si="1"/>
        <v>108.14494999999994</v>
      </c>
      <c r="S60">
        <f t="shared" si="2"/>
        <v>29494.501987440013</v>
      </c>
      <c r="U60">
        <f t="shared" si="3"/>
        <v>74382.307453440153</v>
      </c>
    </row>
    <row r="61" spans="1:21" ht="15.75" customHeight="1" x14ac:dyDescent="0.25">
      <c r="A61" s="4" t="s">
        <v>38</v>
      </c>
      <c r="B61" s="4" t="s">
        <v>76</v>
      </c>
      <c r="C61" s="4" t="s">
        <v>9</v>
      </c>
      <c r="D61" s="4" t="s">
        <v>12</v>
      </c>
      <c r="E61" s="4">
        <v>1360.36</v>
      </c>
      <c r="F61" s="4">
        <v>17</v>
      </c>
      <c r="G61" s="4">
        <v>0</v>
      </c>
      <c r="H61" s="5">
        <v>45473</v>
      </c>
      <c r="I61" s="4">
        <v>680.18</v>
      </c>
      <c r="J61" s="4" t="str" cm="1">
        <f t="array" ref="J61">IFERROR(INDEX(B:B,MATCH(IF(E61&gt;1500,E61,"false"),E:E,0),0),"is not high value customer")</f>
        <v>is not high value customer</v>
      </c>
      <c r="L61" s="17">
        <v>0.54513888888888884</v>
      </c>
      <c r="Q61">
        <f t="shared" si="0"/>
        <v>384.27120000000025</v>
      </c>
      <c r="R61">
        <f t="shared" si="1"/>
        <v>338.7449499999999</v>
      </c>
      <c r="S61">
        <f t="shared" si="2"/>
        <v>130169.92843044005</v>
      </c>
      <c r="U61">
        <f t="shared" si="3"/>
        <v>147664.35514944021</v>
      </c>
    </row>
    <row r="62" spans="1:21" ht="15.75" customHeight="1" x14ac:dyDescent="0.25">
      <c r="A62" s="4" t="s">
        <v>74</v>
      </c>
      <c r="B62" s="4" t="s">
        <v>50</v>
      </c>
      <c r="C62" s="4" t="s">
        <v>6</v>
      </c>
      <c r="D62" s="4" t="s">
        <v>11</v>
      </c>
      <c r="E62" s="4">
        <v>1383.3</v>
      </c>
      <c r="F62" s="4">
        <v>8</v>
      </c>
      <c r="G62" s="4">
        <v>0.1</v>
      </c>
      <c r="H62" s="5">
        <v>45478</v>
      </c>
      <c r="I62" s="4">
        <v>497.99</v>
      </c>
      <c r="J62" s="4" t="str" cm="1">
        <f t="array" ref="J62">IFERROR(INDEX(B:B,MATCH(IF(E62&gt;1500,E62,"false"),E:E,0),0),"is not high value customer")</f>
        <v>is not high value customer</v>
      </c>
      <c r="L62" s="17">
        <v>0.54513888888888884</v>
      </c>
      <c r="Q62">
        <f t="shared" si="0"/>
        <v>407.2112000000003</v>
      </c>
      <c r="R62">
        <f t="shared" si="1"/>
        <v>156.55494999999996</v>
      </c>
      <c r="S62">
        <f t="shared" si="2"/>
        <v>63750.929055440036</v>
      </c>
      <c r="U62">
        <f t="shared" si="3"/>
        <v>165820.96140544023</v>
      </c>
    </row>
    <row r="63" spans="1:21" ht="15.75" customHeight="1" x14ac:dyDescent="0.25">
      <c r="A63" s="4" t="s">
        <v>53</v>
      </c>
      <c r="B63" s="4" t="s">
        <v>72</v>
      </c>
      <c r="C63" s="4" t="s">
        <v>5</v>
      </c>
      <c r="D63" s="4" t="s">
        <v>15</v>
      </c>
      <c r="E63" s="4">
        <v>488.99</v>
      </c>
      <c r="F63" s="4">
        <v>9</v>
      </c>
      <c r="G63" s="4">
        <v>0</v>
      </c>
      <c r="H63" s="5">
        <v>45479</v>
      </c>
      <c r="I63" s="4">
        <v>220.05</v>
      </c>
      <c r="J63" s="4" t="str" cm="1">
        <f t="array" ref="J63">IFERROR(INDEX(B:B,MATCH(IF(E63&gt;1500,E63,"false"),E:E,0),0),"is not high value customer")</f>
        <v>is not high value customer</v>
      </c>
      <c r="L63" s="17">
        <v>0.54513888888888884</v>
      </c>
      <c r="Q63">
        <f t="shared" si="0"/>
        <v>-487.09879999999964</v>
      </c>
      <c r="R63">
        <f t="shared" si="1"/>
        <v>-121.38505000000004</v>
      </c>
      <c r="S63">
        <f t="shared" si="2"/>
        <v>59126.512192939976</v>
      </c>
      <c r="U63">
        <f t="shared" si="3"/>
        <v>237265.24096143965</v>
      </c>
    </row>
    <row r="64" spans="1:21" ht="15.75" customHeight="1" x14ac:dyDescent="0.25">
      <c r="A64" s="4" t="s">
        <v>49</v>
      </c>
      <c r="B64" s="4" t="s">
        <v>50</v>
      </c>
      <c r="C64" s="4" t="s">
        <v>6</v>
      </c>
      <c r="D64" s="4" t="s">
        <v>14</v>
      </c>
      <c r="E64" s="4">
        <v>933.71</v>
      </c>
      <c r="F64" s="4">
        <v>17</v>
      </c>
      <c r="G64" s="4">
        <v>0.1</v>
      </c>
      <c r="H64" s="5">
        <v>45481</v>
      </c>
      <c r="I64" s="4">
        <v>294.12</v>
      </c>
      <c r="J64" s="4" t="str" cm="1">
        <f t="array" ref="J64">IFERROR(INDEX(B:B,MATCH(IF(E64&gt;1500,E64,"false"),E:E,0),0),"is not high value customer")</f>
        <v>is not high value customer</v>
      </c>
      <c r="L64" s="17">
        <v>0.54513888888888884</v>
      </c>
      <c r="Q64">
        <f t="shared" si="0"/>
        <v>-42.378799999999615</v>
      </c>
      <c r="R64">
        <f t="shared" si="1"/>
        <v>-47.315050000000042</v>
      </c>
      <c r="S64">
        <f t="shared" si="2"/>
        <v>2005.1550409399836</v>
      </c>
      <c r="U64">
        <f t="shared" si="3"/>
        <v>1795.9626894399673</v>
      </c>
    </row>
    <row r="65" spans="1:21" ht="15.75" customHeight="1" x14ac:dyDescent="0.25">
      <c r="A65" s="4" t="s">
        <v>84</v>
      </c>
      <c r="B65" s="4" t="s">
        <v>37</v>
      </c>
      <c r="C65" s="4" t="s">
        <v>9</v>
      </c>
      <c r="D65" s="4" t="s">
        <v>13</v>
      </c>
      <c r="E65" s="4">
        <v>1005.53</v>
      </c>
      <c r="F65" s="4">
        <v>17</v>
      </c>
      <c r="G65" s="4">
        <v>0.2</v>
      </c>
      <c r="H65" s="5">
        <v>45481</v>
      </c>
      <c r="I65" s="4">
        <v>201.11</v>
      </c>
      <c r="J65" s="4" t="str" cm="1">
        <f t="array" ref="J65">IFERROR(INDEX(B:B,MATCH(IF(E65&gt;1500,E65,"false"),E:E,0),0),"is not high value customer")</f>
        <v>is not high value customer</v>
      </c>
      <c r="L65" s="17">
        <v>0.54513888888888884</v>
      </c>
      <c r="Q65">
        <f t="shared" si="0"/>
        <v>29.441200000000322</v>
      </c>
      <c r="R65">
        <f t="shared" si="1"/>
        <v>-140.32505000000003</v>
      </c>
      <c r="S65">
        <f t="shared" si="2"/>
        <v>-4131.3378620600461</v>
      </c>
      <c r="U65">
        <f t="shared" si="3"/>
        <v>866.78425744001891</v>
      </c>
    </row>
    <row r="66" spans="1:21" ht="15.75" customHeight="1" x14ac:dyDescent="0.25">
      <c r="A66" s="4" t="s">
        <v>58</v>
      </c>
      <c r="B66" s="4" t="s">
        <v>78</v>
      </c>
      <c r="C66" s="4" t="s">
        <v>8</v>
      </c>
      <c r="D66" s="4" t="s">
        <v>13</v>
      </c>
      <c r="E66" s="4">
        <v>1100.0999999999999</v>
      </c>
      <c r="F66" s="4">
        <v>5</v>
      </c>
      <c r="G66" s="4">
        <v>0.05</v>
      </c>
      <c r="H66" s="5">
        <v>45482</v>
      </c>
      <c r="I66" s="4">
        <v>261.27</v>
      </c>
      <c r="J66" s="4" t="str" cm="1">
        <f t="array" ref="J66">IFERROR(INDEX(B:B,MATCH(IF(E66&gt;1500,E66,"false"),E:E,0),0),"is not high value customer")</f>
        <v>is not high value customer</v>
      </c>
      <c r="L66" s="17">
        <v>0.54513888888888884</v>
      </c>
      <c r="Q66">
        <f t="shared" si="0"/>
        <v>124.01120000000026</v>
      </c>
      <c r="R66">
        <f t="shared" si="1"/>
        <v>-80.165050000000065</v>
      </c>
      <c r="S66">
        <f t="shared" si="2"/>
        <v>-9941.3640485600281</v>
      </c>
      <c r="U66">
        <f t="shared" si="3"/>
        <v>15378.777725440064</v>
      </c>
    </row>
    <row r="67" spans="1:21" ht="15.75" customHeight="1" x14ac:dyDescent="0.25">
      <c r="A67" s="4" t="s">
        <v>84</v>
      </c>
      <c r="B67" s="4" t="s">
        <v>44</v>
      </c>
      <c r="C67" s="4" t="s">
        <v>7</v>
      </c>
      <c r="D67" s="4" t="s">
        <v>14</v>
      </c>
      <c r="E67" s="4">
        <v>1034.7</v>
      </c>
      <c r="F67" s="4">
        <v>15</v>
      </c>
      <c r="G67" s="4">
        <v>0.15</v>
      </c>
      <c r="H67" s="5">
        <v>45487</v>
      </c>
      <c r="I67" s="4">
        <v>307.82</v>
      </c>
      <c r="J67" s="4" t="str" cm="1">
        <f t="array" ref="J67">IFERROR(INDEX(B:B,MATCH(IF(E67&gt;1500,E67,"false"),E:E,0),0),"is not high value customer")</f>
        <v>is not high value customer</v>
      </c>
      <c r="L67" s="17">
        <v>0.54513888888888884</v>
      </c>
      <c r="Q67">
        <f t="shared" ref="Q67:Q130" si="4">E67-$O$2</f>
        <v>58.611200000000395</v>
      </c>
      <c r="R67">
        <f t="shared" ref="R67:R130" si="5">I67-$P$2</f>
        <v>-33.615050000000053</v>
      </c>
      <c r="S67">
        <f t="shared" ref="S67:S130" si="6">Q67*R67</f>
        <v>-1970.2184185600163</v>
      </c>
      <c r="U67">
        <f t="shared" ref="U67:U130" si="7">Q67*Q67</f>
        <v>3435.2727654400464</v>
      </c>
    </row>
    <row r="68" spans="1:21" ht="15.75" customHeight="1" x14ac:dyDescent="0.25">
      <c r="A68" s="4" t="s">
        <v>82</v>
      </c>
      <c r="B68" s="4" t="s">
        <v>50</v>
      </c>
      <c r="C68" s="4" t="s">
        <v>8</v>
      </c>
      <c r="D68" s="4" t="s">
        <v>11</v>
      </c>
      <c r="E68" s="4">
        <v>876.44</v>
      </c>
      <c r="F68" s="4">
        <v>12</v>
      </c>
      <c r="G68" s="4">
        <v>0.05</v>
      </c>
      <c r="H68" s="5">
        <v>45488</v>
      </c>
      <c r="I68" s="4">
        <v>333.05</v>
      </c>
      <c r="J68" s="4" t="str" cm="1">
        <f t="array" ref="J68">IFERROR(INDEX(B:B,MATCH(IF(E68&gt;1500,E68,"false"),E:E,0),0),"is not high value customer")</f>
        <v>is not high value customer</v>
      </c>
      <c r="L68" s="17">
        <v>0.54513888888888884</v>
      </c>
      <c r="Q68">
        <f t="shared" si="4"/>
        <v>-99.648799999999596</v>
      </c>
      <c r="R68">
        <f t="shared" si="5"/>
        <v>-8.3850500000000352</v>
      </c>
      <c r="S68">
        <f t="shared" si="6"/>
        <v>835.56017044000009</v>
      </c>
      <c r="U68">
        <f t="shared" si="7"/>
        <v>9929.8833414399196</v>
      </c>
    </row>
    <row r="69" spans="1:21" ht="15.75" customHeight="1" x14ac:dyDescent="0.25">
      <c r="A69" s="4" t="s">
        <v>85</v>
      </c>
      <c r="B69" s="4" t="s">
        <v>72</v>
      </c>
      <c r="C69" s="4" t="s">
        <v>9</v>
      </c>
      <c r="D69" s="4" t="s">
        <v>14</v>
      </c>
      <c r="E69" s="4">
        <v>1371.34</v>
      </c>
      <c r="F69" s="4">
        <v>5</v>
      </c>
      <c r="G69" s="4">
        <v>0.05</v>
      </c>
      <c r="H69" s="5">
        <v>45488</v>
      </c>
      <c r="I69" s="4">
        <v>455.97</v>
      </c>
      <c r="J69" s="4" t="str" cm="1">
        <f t="array" ref="J69">IFERROR(INDEX(B:B,MATCH(IF(E69&gt;1500,E69,"false"),E:E,0),0),"is not high value customer")</f>
        <v>is not high value customer</v>
      </c>
      <c r="L69" s="17">
        <v>0.54513888888888884</v>
      </c>
      <c r="Q69">
        <f t="shared" si="4"/>
        <v>395.25120000000027</v>
      </c>
      <c r="R69">
        <f t="shared" si="5"/>
        <v>114.53494999999998</v>
      </c>
      <c r="S69">
        <f t="shared" si="6"/>
        <v>45270.076429440021</v>
      </c>
      <c r="U69">
        <f t="shared" si="7"/>
        <v>156223.51110144021</v>
      </c>
    </row>
    <row r="70" spans="1:21" ht="15.75" customHeight="1" x14ac:dyDescent="0.25">
      <c r="A70" s="4" t="s">
        <v>74</v>
      </c>
      <c r="B70" s="4" t="s">
        <v>64</v>
      </c>
      <c r="C70" s="4" t="s">
        <v>7</v>
      </c>
      <c r="D70" s="4" t="s">
        <v>13</v>
      </c>
      <c r="E70" s="4">
        <v>1020.26</v>
      </c>
      <c r="F70" s="4">
        <v>11</v>
      </c>
      <c r="G70" s="4">
        <v>0.05</v>
      </c>
      <c r="H70" s="5">
        <v>45494</v>
      </c>
      <c r="I70" s="4">
        <v>242.31</v>
      </c>
      <c r="J70" s="4" t="str" cm="1">
        <f t="array" ref="J70">IFERROR(INDEX(B:B,MATCH(IF(E70&gt;1500,E70,"false"),E:E,0),0),"is not high value customer")</f>
        <v>is not high value customer</v>
      </c>
      <c r="L70" s="17">
        <v>0.54513888888888884</v>
      </c>
      <c r="Q70">
        <f t="shared" si="4"/>
        <v>44.17120000000034</v>
      </c>
      <c r="R70">
        <f t="shared" si="5"/>
        <v>-99.125050000000044</v>
      </c>
      <c r="S70">
        <f t="shared" si="6"/>
        <v>-4378.4724085600355</v>
      </c>
      <c r="U70">
        <f t="shared" si="7"/>
        <v>1951.0949094400301</v>
      </c>
    </row>
    <row r="71" spans="1:21" ht="15.75" customHeight="1" x14ac:dyDescent="0.25">
      <c r="A71" s="4" t="s">
        <v>61</v>
      </c>
      <c r="B71" s="4" t="s">
        <v>37</v>
      </c>
      <c r="C71" s="4" t="s">
        <v>5</v>
      </c>
      <c r="D71" s="4" t="s">
        <v>15</v>
      </c>
      <c r="E71" s="4">
        <v>804.81</v>
      </c>
      <c r="F71" s="4">
        <v>1</v>
      </c>
      <c r="G71" s="4">
        <v>0.05</v>
      </c>
      <c r="H71" s="5">
        <v>45502</v>
      </c>
      <c r="I71" s="4">
        <v>344.06</v>
      </c>
      <c r="J71" s="4" t="str" cm="1">
        <f t="array" ref="J71">IFERROR(INDEX(B:B,MATCH(IF(E71&gt;1500,E71,"false"),E:E,0),0),"is not high value customer")</f>
        <v>is not high value customer</v>
      </c>
      <c r="L71" s="17">
        <v>0.54513888888888884</v>
      </c>
      <c r="Q71">
        <f t="shared" si="4"/>
        <v>-171.27879999999971</v>
      </c>
      <c r="R71">
        <f t="shared" si="5"/>
        <v>2.6249499999999557</v>
      </c>
      <c r="S71">
        <f t="shared" si="6"/>
        <v>-449.59828605999166</v>
      </c>
      <c r="U71">
        <f t="shared" si="7"/>
        <v>29336.427329439899</v>
      </c>
    </row>
    <row r="72" spans="1:21" ht="15.75" customHeight="1" x14ac:dyDescent="0.25">
      <c r="A72" s="4" t="s">
        <v>43</v>
      </c>
      <c r="B72" s="4" t="s">
        <v>72</v>
      </c>
      <c r="C72" s="4" t="s">
        <v>5</v>
      </c>
      <c r="D72" s="4" t="s">
        <v>13</v>
      </c>
      <c r="E72" s="4">
        <v>608.66</v>
      </c>
      <c r="F72" s="4">
        <v>1</v>
      </c>
      <c r="G72" s="4">
        <v>0.05</v>
      </c>
      <c r="H72" s="5">
        <v>45503</v>
      </c>
      <c r="I72" s="4">
        <v>144.56</v>
      </c>
      <c r="J72" s="4" t="str" cm="1">
        <f t="array" ref="J72">IFERROR(INDEX(B:B,MATCH(IF(E72&gt;1500,E72,"false"),E:E,0),0),"is not high value customer")</f>
        <v>is not high value customer</v>
      </c>
      <c r="L72" s="17">
        <v>0.54513888888888884</v>
      </c>
      <c r="Q72">
        <f t="shared" si="4"/>
        <v>-367.42879999999968</v>
      </c>
      <c r="R72">
        <f t="shared" si="5"/>
        <v>-196.87505000000004</v>
      </c>
      <c r="S72">
        <f t="shared" si="6"/>
        <v>72337.563371439959</v>
      </c>
      <c r="U72">
        <f t="shared" si="7"/>
        <v>135003.92306943977</v>
      </c>
    </row>
    <row r="73" spans="1:21" ht="15.75" customHeight="1" x14ac:dyDescent="0.25">
      <c r="A73" s="4" t="s">
        <v>85</v>
      </c>
      <c r="B73" s="4" t="s">
        <v>86</v>
      </c>
      <c r="C73" s="4" t="s">
        <v>8</v>
      </c>
      <c r="D73" s="4" t="s">
        <v>15</v>
      </c>
      <c r="E73" s="4">
        <v>981.2</v>
      </c>
      <c r="F73" s="4">
        <v>19</v>
      </c>
      <c r="G73" s="4">
        <v>0</v>
      </c>
      <c r="H73" s="5">
        <v>45504</v>
      </c>
      <c r="I73" s="4">
        <v>441.54</v>
      </c>
      <c r="J73" s="4" t="str" cm="1">
        <f t="array" ref="J73">IFERROR(INDEX(B:B,MATCH(IF(E73&gt;1500,E73,"false"),E:E,0),0),"is not high value customer")</f>
        <v>is not high value customer</v>
      </c>
      <c r="L73" s="17">
        <v>0.54513888888888884</v>
      </c>
      <c r="Q73">
        <f t="shared" si="4"/>
        <v>5.1112000000003945</v>
      </c>
      <c r="R73">
        <f t="shared" si="5"/>
        <v>100.10494999999997</v>
      </c>
      <c r="S73">
        <f t="shared" si="6"/>
        <v>511.65642044003937</v>
      </c>
      <c r="U73">
        <f t="shared" si="7"/>
        <v>26.124365440004034</v>
      </c>
    </row>
    <row r="74" spans="1:21" ht="15.75" customHeight="1" x14ac:dyDescent="0.25">
      <c r="A74" s="4" t="s">
        <v>87</v>
      </c>
      <c r="B74" s="4" t="s">
        <v>72</v>
      </c>
      <c r="C74" s="4" t="s">
        <v>6</v>
      </c>
      <c r="D74" s="4" t="s">
        <v>13</v>
      </c>
      <c r="E74" s="4">
        <v>539.77</v>
      </c>
      <c r="F74" s="4">
        <v>10</v>
      </c>
      <c r="G74" s="4">
        <v>0.15</v>
      </c>
      <c r="H74" s="5">
        <v>45509</v>
      </c>
      <c r="I74" s="4">
        <v>114.7</v>
      </c>
      <c r="J74" s="4" t="str" cm="1">
        <f t="array" ref="J74">IFERROR(INDEX(B:B,MATCH(IF(E74&gt;1500,E74,"false"),E:E,0),0),"is not high value customer")</f>
        <v>is not high value customer</v>
      </c>
      <c r="L74" s="17">
        <v>0.54513888888888884</v>
      </c>
      <c r="Q74">
        <f t="shared" si="4"/>
        <v>-436.31879999999967</v>
      </c>
      <c r="R74">
        <f t="shared" si="5"/>
        <v>-226.73505000000006</v>
      </c>
      <c r="S74">
        <f t="shared" si="6"/>
        <v>98928.76493393995</v>
      </c>
      <c r="U74">
        <f t="shared" si="7"/>
        <v>190374.0952334397</v>
      </c>
    </row>
    <row r="75" spans="1:21" ht="15.75" customHeight="1" x14ac:dyDescent="0.25">
      <c r="A75" s="4" t="s">
        <v>38</v>
      </c>
      <c r="B75" s="4" t="s">
        <v>88</v>
      </c>
      <c r="C75" s="4" t="s">
        <v>8</v>
      </c>
      <c r="D75" s="4" t="s">
        <v>11</v>
      </c>
      <c r="E75" s="4">
        <v>804.45</v>
      </c>
      <c r="F75" s="4">
        <v>5</v>
      </c>
      <c r="G75" s="4">
        <v>0.2</v>
      </c>
      <c r="H75" s="5">
        <v>45509</v>
      </c>
      <c r="I75" s="4">
        <v>257.42</v>
      </c>
      <c r="J75" s="4" t="str" cm="1">
        <f t="array" ref="J75">IFERROR(INDEX(B:B,MATCH(IF(E75&gt;1500,E75,"false"),E:E,0),0),"is not high value customer")</f>
        <v>is not high value customer</v>
      </c>
      <c r="L75" s="17">
        <v>0.54513888888888884</v>
      </c>
      <c r="Q75">
        <f t="shared" si="4"/>
        <v>-171.63879999999961</v>
      </c>
      <c r="R75">
        <f t="shared" si="5"/>
        <v>-84.015050000000031</v>
      </c>
      <c r="S75">
        <f t="shared" si="6"/>
        <v>14420.242363939971</v>
      </c>
      <c r="U75">
        <f t="shared" si="7"/>
        <v>29459.877665439864</v>
      </c>
    </row>
    <row r="76" spans="1:21" ht="15.75" customHeight="1" x14ac:dyDescent="0.25">
      <c r="A76" s="4" t="s">
        <v>87</v>
      </c>
      <c r="B76" s="4" t="s">
        <v>56</v>
      </c>
      <c r="C76" s="4" t="s">
        <v>9</v>
      </c>
      <c r="D76" s="4" t="s">
        <v>13</v>
      </c>
      <c r="E76" s="4">
        <v>1526.6</v>
      </c>
      <c r="F76" s="4">
        <v>13</v>
      </c>
      <c r="G76" s="4">
        <v>0.2</v>
      </c>
      <c r="H76" s="5">
        <v>45512</v>
      </c>
      <c r="I76" s="4">
        <v>305.32</v>
      </c>
      <c r="J76" s="4" t="str" cm="1">
        <f t="array" ref="J76">IFERROR(INDEX(B:B,MATCH(IF(E76&gt;1500,E76,"false"),E:E,0),0),"is not high value customer")</f>
        <v>Emma Davis</v>
      </c>
      <c r="L76" s="17">
        <v>0.54513888888888884</v>
      </c>
      <c r="Q76">
        <f t="shared" si="4"/>
        <v>550.51120000000026</v>
      </c>
      <c r="R76">
        <f t="shared" si="5"/>
        <v>-36.115050000000053</v>
      </c>
      <c r="S76">
        <f t="shared" si="6"/>
        <v>-19881.739513560038</v>
      </c>
      <c r="U76">
        <f t="shared" si="7"/>
        <v>303062.58132544026</v>
      </c>
    </row>
    <row r="77" spans="1:21" ht="15.75" customHeight="1" x14ac:dyDescent="0.25">
      <c r="A77" s="4" t="s">
        <v>38</v>
      </c>
      <c r="B77" s="4" t="s">
        <v>48</v>
      </c>
      <c r="C77" s="4" t="s">
        <v>9</v>
      </c>
      <c r="D77" s="4" t="s">
        <v>13</v>
      </c>
      <c r="E77" s="4">
        <v>1215.26</v>
      </c>
      <c r="F77" s="4">
        <v>5</v>
      </c>
      <c r="G77" s="4">
        <v>0.15</v>
      </c>
      <c r="H77" s="5">
        <v>45513</v>
      </c>
      <c r="I77" s="4">
        <v>258.24</v>
      </c>
      <c r="J77" s="4" t="str" cm="1">
        <f t="array" ref="J77">IFERROR(INDEX(B:B,MATCH(IF(E77&gt;1500,E77,"false"),E:E,0),0),"is not high value customer")</f>
        <v>is not high value customer</v>
      </c>
      <c r="L77" s="17">
        <v>0.54513888888888884</v>
      </c>
      <c r="Q77">
        <f t="shared" si="4"/>
        <v>239.17120000000034</v>
      </c>
      <c r="R77">
        <f t="shared" si="5"/>
        <v>-83.195050000000037</v>
      </c>
      <c r="S77">
        <f t="shared" si="6"/>
        <v>-19897.859942560037</v>
      </c>
      <c r="U77">
        <f t="shared" si="7"/>
        <v>57202.862909440162</v>
      </c>
    </row>
    <row r="78" spans="1:21" ht="15.75" customHeight="1" x14ac:dyDescent="0.25">
      <c r="A78" s="4" t="s">
        <v>42</v>
      </c>
      <c r="B78" s="4" t="s">
        <v>70</v>
      </c>
      <c r="C78" s="4" t="s">
        <v>5</v>
      </c>
      <c r="D78" s="4" t="s">
        <v>14</v>
      </c>
      <c r="E78" s="4">
        <v>1261.3399999999999</v>
      </c>
      <c r="F78" s="4">
        <v>3</v>
      </c>
      <c r="G78" s="4">
        <v>0</v>
      </c>
      <c r="H78" s="5">
        <v>45519</v>
      </c>
      <c r="I78" s="4">
        <v>441.47</v>
      </c>
      <c r="J78" s="4" t="str" cm="1">
        <f t="array" ref="J78">IFERROR(INDEX(B:B,MATCH(IF(E78&gt;1500,E78,"false"),E:E,0),0),"is not high value customer")</f>
        <v>is not high value customer</v>
      </c>
      <c r="L78" s="17">
        <v>0.54513888888888884</v>
      </c>
      <c r="Q78">
        <f t="shared" si="4"/>
        <v>285.25120000000027</v>
      </c>
      <c r="R78">
        <f t="shared" si="5"/>
        <v>100.03494999999998</v>
      </c>
      <c r="S78">
        <f t="shared" si="6"/>
        <v>28535.089529440022</v>
      </c>
      <c r="U78">
        <f t="shared" si="7"/>
        <v>81368.247101440153</v>
      </c>
    </row>
    <row r="79" spans="1:21" ht="15.75" customHeight="1" x14ac:dyDescent="0.25">
      <c r="A79" s="4" t="s">
        <v>89</v>
      </c>
      <c r="B79" s="4" t="s">
        <v>62</v>
      </c>
      <c r="C79" s="4" t="s">
        <v>7</v>
      </c>
      <c r="D79" s="4" t="s">
        <v>14</v>
      </c>
      <c r="E79" s="4">
        <v>518.07000000000005</v>
      </c>
      <c r="F79" s="4">
        <v>7</v>
      </c>
      <c r="G79" s="4">
        <v>0.05</v>
      </c>
      <c r="H79" s="5">
        <v>45522</v>
      </c>
      <c r="I79" s="4">
        <v>172.26</v>
      </c>
      <c r="J79" s="4" t="str" cm="1">
        <f t="array" ref="J79">IFERROR(INDEX(B:B,MATCH(IF(E79&gt;1500,E79,"false"),E:E,0),0),"is not high value customer")</f>
        <v>is not high value customer</v>
      </c>
      <c r="L79" s="17">
        <v>0.54513888888888884</v>
      </c>
      <c r="Q79">
        <f t="shared" si="4"/>
        <v>-458.0187999999996</v>
      </c>
      <c r="R79">
        <f t="shared" si="5"/>
        <v>-169.17505000000006</v>
      </c>
      <c r="S79">
        <f t="shared" si="6"/>
        <v>77485.353390939956</v>
      </c>
      <c r="U79">
        <f t="shared" si="7"/>
        <v>209781.22115343963</v>
      </c>
    </row>
    <row r="80" spans="1:21" ht="15.75" customHeight="1" x14ac:dyDescent="0.25">
      <c r="A80" s="4" t="s">
        <v>49</v>
      </c>
      <c r="B80" s="4" t="s">
        <v>48</v>
      </c>
      <c r="C80" s="4" t="s">
        <v>9</v>
      </c>
      <c r="D80" s="4" t="s">
        <v>15</v>
      </c>
      <c r="E80" s="4">
        <v>1111.3399999999999</v>
      </c>
      <c r="F80" s="4">
        <v>1</v>
      </c>
      <c r="G80" s="4">
        <v>0</v>
      </c>
      <c r="H80" s="5">
        <v>45523</v>
      </c>
      <c r="I80" s="4">
        <v>500.1</v>
      </c>
      <c r="J80" s="4" t="str" cm="1">
        <f t="array" ref="J80">IFERROR(INDEX(B:B,MATCH(IF(E80&gt;1500,E80,"false"),E:E,0),0),"is not high value customer")</f>
        <v>is not high value customer</v>
      </c>
      <c r="L80" s="17">
        <v>0.54513888888888884</v>
      </c>
      <c r="Q80">
        <f t="shared" si="4"/>
        <v>135.25120000000027</v>
      </c>
      <c r="R80">
        <f t="shared" si="5"/>
        <v>158.66494999999998</v>
      </c>
      <c r="S80">
        <f t="shared" si="6"/>
        <v>21459.62488544004</v>
      </c>
      <c r="U80">
        <f t="shared" si="7"/>
        <v>18292.887101440072</v>
      </c>
    </row>
    <row r="81" spans="1:21" ht="15.75" customHeight="1" x14ac:dyDescent="0.25">
      <c r="A81" s="4" t="s">
        <v>43</v>
      </c>
      <c r="B81" s="4" t="s">
        <v>50</v>
      </c>
      <c r="C81" s="4" t="s">
        <v>6</v>
      </c>
      <c r="D81" s="4" t="s">
        <v>12</v>
      </c>
      <c r="E81" s="4">
        <v>1291.47</v>
      </c>
      <c r="F81" s="4">
        <v>18</v>
      </c>
      <c r="G81" s="4">
        <v>0.1</v>
      </c>
      <c r="H81" s="5">
        <v>45526</v>
      </c>
      <c r="I81" s="4">
        <v>581.16</v>
      </c>
      <c r="J81" s="4" t="str" cm="1">
        <f t="array" ref="J81">IFERROR(INDEX(B:B,MATCH(IF(E81&gt;1500,E81,"false"),E:E,0),0),"is not high value customer")</f>
        <v>is not high value customer</v>
      </c>
      <c r="L81" s="17">
        <v>0.54513888888888884</v>
      </c>
      <c r="Q81">
        <f t="shared" si="4"/>
        <v>315.38120000000038</v>
      </c>
      <c r="R81">
        <f t="shared" si="5"/>
        <v>239.72494999999992</v>
      </c>
      <c r="S81">
        <f t="shared" si="6"/>
        <v>75604.742400940071</v>
      </c>
      <c r="U81">
        <f t="shared" si="7"/>
        <v>99465.301313440243</v>
      </c>
    </row>
    <row r="82" spans="1:21" ht="15.75" customHeight="1" x14ac:dyDescent="0.25">
      <c r="A82" s="4" t="s">
        <v>45</v>
      </c>
      <c r="B82" s="4" t="s">
        <v>72</v>
      </c>
      <c r="C82" s="4" t="s">
        <v>7</v>
      </c>
      <c r="D82" s="4" t="s">
        <v>11</v>
      </c>
      <c r="E82" s="4">
        <v>679.71</v>
      </c>
      <c r="F82" s="4">
        <v>19</v>
      </c>
      <c r="G82" s="4">
        <v>0</v>
      </c>
      <c r="H82" s="5">
        <v>45534</v>
      </c>
      <c r="I82" s="4">
        <v>271.88</v>
      </c>
      <c r="J82" s="4" t="str" cm="1">
        <f t="array" ref="J82">IFERROR(INDEX(B:B,MATCH(IF(E82&gt;1500,E82,"false"),E:E,0),0),"is not high value customer")</f>
        <v>is not high value customer</v>
      </c>
      <c r="L82" s="17">
        <v>0.54513888888888884</v>
      </c>
      <c r="Q82">
        <f t="shared" si="4"/>
        <v>-296.37879999999961</v>
      </c>
      <c r="R82">
        <f t="shared" si="5"/>
        <v>-69.555050000000051</v>
      </c>
      <c r="S82">
        <f t="shared" si="6"/>
        <v>20614.64225293999</v>
      </c>
      <c r="U82">
        <f t="shared" si="7"/>
        <v>87840.393089439778</v>
      </c>
    </row>
    <row r="83" spans="1:21" ht="15.75" customHeight="1" x14ac:dyDescent="0.25">
      <c r="A83" s="4" t="s">
        <v>85</v>
      </c>
      <c r="B83" s="4" t="s">
        <v>52</v>
      </c>
      <c r="C83" s="4" t="s">
        <v>6</v>
      </c>
      <c r="D83" s="4" t="s">
        <v>14</v>
      </c>
      <c r="E83" s="4">
        <v>1143.69</v>
      </c>
      <c r="F83" s="4">
        <v>17</v>
      </c>
      <c r="G83" s="4">
        <v>0</v>
      </c>
      <c r="H83" s="5">
        <v>45534</v>
      </c>
      <c r="I83" s="4">
        <v>400.29</v>
      </c>
      <c r="J83" s="4" t="str" cm="1">
        <f t="array" ref="J83">IFERROR(INDEX(B:B,MATCH(IF(E83&gt;1500,E83,"false"),E:E,0),0),"is not high value customer")</f>
        <v>is not high value customer</v>
      </c>
      <c r="L83" s="17">
        <v>0.54513888888888884</v>
      </c>
      <c r="Q83">
        <f t="shared" si="4"/>
        <v>167.6012000000004</v>
      </c>
      <c r="R83">
        <f t="shared" si="5"/>
        <v>58.854949999999974</v>
      </c>
      <c r="S83">
        <f t="shared" si="6"/>
        <v>9864.1602459400201</v>
      </c>
      <c r="U83">
        <f t="shared" si="7"/>
        <v>28090.162241440135</v>
      </c>
    </row>
    <row r="84" spans="1:21" ht="15.75" customHeight="1" x14ac:dyDescent="0.25">
      <c r="A84" s="4" t="s">
        <v>69</v>
      </c>
      <c r="B84" s="4" t="s">
        <v>67</v>
      </c>
      <c r="C84" s="4" t="s">
        <v>5</v>
      </c>
      <c r="D84" s="4" t="s">
        <v>13</v>
      </c>
      <c r="E84" s="4">
        <v>790.08</v>
      </c>
      <c r="F84" s="4">
        <v>7</v>
      </c>
      <c r="G84" s="4">
        <v>0.1</v>
      </c>
      <c r="H84" s="5">
        <v>45536</v>
      </c>
      <c r="I84" s="4">
        <v>177.77</v>
      </c>
      <c r="J84" s="4" t="str" cm="1">
        <f t="array" ref="J84">IFERROR(INDEX(B:B,MATCH(IF(E84&gt;1500,E84,"false"),E:E,0),0),"is not high value customer")</f>
        <v>is not high value customer</v>
      </c>
      <c r="L84" s="17">
        <v>0.54513888888888884</v>
      </c>
      <c r="Q84">
        <f t="shared" si="4"/>
        <v>-186.00879999999961</v>
      </c>
      <c r="R84">
        <f t="shared" si="5"/>
        <v>-163.66505000000004</v>
      </c>
      <c r="S84">
        <f t="shared" si="6"/>
        <v>30443.139552439941</v>
      </c>
      <c r="U84">
        <f t="shared" si="7"/>
        <v>34599.273677439858</v>
      </c>
    </row>
    <row r="85" spans="1:21" ht="15.75" customHeight="1" x14ac:dyDescent="0.25">
      <c r="A85" s="4" t="s">
        <v>42</v>
      </c>
      <c r="B85" s="4" t="s">
        <v>65</v>
      </c>
      <c r="C85" s="4" t="s">
        <v>5</v>
      </c>
      <c r="D85" s="4" t="s">
        <v>11</v>
      </c>
      <c r="E85" s="4">
        <v>1070.68</v>
      </c>
      <c r="F85" s="4">
        <v>7</v>
      </c>
      <c r="G85" s="4">
        <v>0.05</v>
      </c>
      <c r="H85" s="5">
        <v>45536</v>
      </c>
      <c r="I85" s="4">
        <v>406.86</v>
      </c>
      <c r="J85" s="4" t="str" cm="1">
        <f t="array" ref="J85">IFERROR(INDEX(B:B,MATCH(IF(E85&gt;1500,E85,"false"),E:E,0),0),"is not high value customer")</f>
        <v>is not high value customer</v>
      </c>
      <c r="L85" s="17">
        <v>0.54513888888888884</v>
      </c>
      <c r="Q85">
        <f t="shared" si="4"/>
        <v>94.591200000000413</v>
      </c>
      <c r="R85">
        <f t="shared" si="5"/>
        <v>65.424949999999967</v>
      </c>
      <c r="S85">
        <f t="shared" si="6"/>
        <v>6188.6245304400236</v>
      </c>
      <c r="U85">
        <f t="shared" si="7"/>
        <v>8947.4951174400776</v>
      </c>
    </row>
    <row r="86" spans="1:21" ht="15.75" customHeight="1" x14ac:dyDescent="0.25">
      <c r="A86" s="4" t="s">
        <v>75</v>
      </c>
      <c r="B86" s="4" t="s">
        <v>54</v>
      </c>
      <c r="C86" s="4" t="s">
        <v>9</v>
      </c>
      <c r="D86" s="4" t="s">
        <v>12</v>
      </c>
      <c r="E86" s="4">
        <v>1168.8900000000001</v>
      </c>
      <c r="F86" s="4">
        <v>4</v>
      </c>
      <c r="G86" s="4">
        <v>0.1</v>
      </c>
      <c r="H86" s="5">
        <v>45544</v>
      </c>
      <c r="I86" s="4">
        <v>526</v>
      </c>
      <c r="J86" s="4" t="str" cm="1">
        <f t="array" ref="J86">IFERROR(INDEX(B:B,MATCH(IF(E86&gt;1500,E86,"false"),E:E,0),0),"is not high value customer")</f>
        <v>is not high value customer</v>
      </c>
      <c r="L86" s="17">
        <v>0.54513888888888884</v>
      </c>
      <c r="Q86">
        <f t="shared" si="4"/>
        <v>192.80120000000045</v>
      </c>
      <c r="R86">
        <f t="shared" si="5"/>
        <v>184.56494999999995</v>
      </c>
      <c r="S86">
        <f t="shared" si="6"/>
        <v>35584.343837940076</v>
      </c>
      <c r="U86">
        <f t="shared" si="7"/>
        <v>37172.302721440174</v>
      </c>
    </row>
    <row r="87" spans="1:21" ht="15.75" customHeight="1" x14ac:dyDescent="0.25">
      <c r="A87" s="4" t="s">
        <v>84</v>
      </c>
      <c r="B87" s="4" t="s">
        <v>37</v>
      </c>
      <c r="C87" s="4" t="s">
        <v>8</v>
      </c>
      <c r="D87" s="4" t="s">
        <v>13</v>
      </c>
      <c r="E87" s="4">
        <v>1335.87</v>
      </c>
      <c r="F87" s="4">
        <v>17</v>
      </c>
      <c r="G87" s="4">
        <v>0</v>
      </c>
      <c r="H87" s="5">
        <v>45544</v>
      </c>
      <c r="I87" s="4">
        <v>333.97</v>
      </c>
      <c r="J87" s="4" t="str" cm="1">
        <f t="array" ref="J87">IFERROR(INDEX(B:B,MATCH(IF(E87&gt;1500,E87,"false"),E:E,0),0),"is not high value customer")</f>
        <v>is not high value customer</v>
      </c>
      <c r="L87" s="17">
        <v>0.54513888888888884</v>
      </c>
      <c r="Q87">
        <f t="shared" si="4"/>
        <v>359.78120000000024</v>
      </c>
      <c r="R87">
        <f t="shared" si="5"/>
        <v>-7.4650500000000193</v>
      </c>
      <c r="S87">
        <f t="shared" si="6"/>
        <v>-2685.7846470600089</v>
      </c>
      <c r="U87">
        <f t="shared" si="7"/>
        <v>129442.51187344018</v>
      </c>
    </row>
    <row r="88" spans="1:21" ht="15.75" customHeight="1" x14ac:dyDescent="0.25">
      <c r="A88" s="4" t="s">
        <v>57</v>
      </c>
      <c r="B88" s="4" t="s">
        <v>72</v>
      </c>
      <c r="C88" s="4" t="s">
        <v>6</v>
      </c>
      <c r="D88" s="4" t="s">
        <v>14</v>
      </c>
      <c r="E88" s="4">
        <v>873.7</v>
      </c>
      <c r="F88" s="4">
        <v>9</v>
      </c>
      <c r="G88" s="4">
        <v>0</v>
      </c>
      <c r="H88" s="5">
        <v>45546</v>
      </c>
      <c r="I88" s="4">
        <v>305.8</v>
      </c>
      <c r="J88" s="4" t="str" cm="1">
        <f t="array" ref="J88">IFERROR(INDEX(B:B,MATCH(IF(E88&gt;1500,E88,"false"),E:E,0),0),"is not high value customer")</f>
        <v>is not high value customer</v>
      </c>
      <c r="L88" s="17">
        <v>0.54513888888888884</v>
      </c>
      <c r="Q88">
        <f t="shared" si="4"/>
        <v>-102.38879999999961</v>
      </c>
      <c r="R88">
        <f t="shared" si="5"/>
        <v>-35.635050000000035</v>
      </c>
      <c r="S88">
        <f t="shared" si="6"/>
        <v>3648.6300074399896</v>
      </c>
      <c r="U88">
        <f t="shared" si="7"/>
        <v>10483.466365439919</v>
      </c>
    </row>
    <row r="89" spans="1:21" ht="15.75" customHeight="1" x14ac:dyDescent="0.25">
      <c r="A89" s="4" t="s">
        <v>89</v>
      </c>
      <c r="B89" s="4" t="s">
        <v>81</v>
      </c>
      <c r="C89" s="4" t="s">
        <v>9</v>
      </c>
      <c r="D89" s="4" t="s">
        <v>15</v>
      </c>
      <c r="E89" s="4">
        <v>1443.98</v>
      </c>
      <c r="F89" s="4">
        <v>19</v>
      </c>
      <c r="G89" s="4">
        <v>0</v>
      </c>
      <c r="H89" s="5">
        <v>45547</v>
      </c>
      <c r="I89" s="4">
        <v>649.79</v>
      </c>
      <c r="J89" s="4" t="str" cm="1">
        <f t="array" ref="J89">IFERROR(INDEX(B:B,MATCH(IF(E89&gt;1500,E89,"false"),E:E,0),0),"is not high value customer")</f>
        <v>is not high value customer</v>
      </c>
      <c r="L89" s="17">
        <v>0.54513888888888884</v>
      </c>
      <c r="Q89">
        <f t="shared" si="4"/>
        <v>467.89120000000037</v>
      </c>
      <c r="R89">
        <f t="shared" si="5"/>
        <v>308.35494999999992</v>
      </c>
      <c r="S89">
        <f t="shared" si="6"/>
        <v>144276.56758144006</v>
      </c>
      <c r="U89">
        <f t="shared" si="7"/>
        <v>218922.17503744035</v>
      </c>
    </row>
    <row r="90" spans="1:21" ht="15.75" customHeight="1" x14ac:dyDescent="0.25">
      <c r="A90" s="4" t="s">
        <v>57</v>
      </c>
      <c r="B90" s="4" t="s">
        <v>44</v>
      </c>
      <c r="C90" s="4" t="s">
        <v>6</v>
      </c>
      <c r="D90" s="4" t="s">
        <v>15</v>
      </c>
      <c r="E90" s="4">
        <v>1154.33</v>
      </c>
      <c r="F90" s="4">
        <v>11</v>
      </c>
      <c r="G90" s="4">
        <v>0.15</v>
      </c>
      <c r="H90" s="5">
        <v>45549</v>
      </c>
      <c r="I90" s="4">
        <v>441.53</v>
      </c>
      <c r="J90" s="4" t="str" cm="1">
        <f t="array" ref="J90">IFERROR(INDEX(B:B,MATCH(IF(E90&gt;1500,E90,"false"),E:E,0),0),"is not high value customer")</f>
        <v>is not high value customer</v>
      </c>
      <c r="L90" s="17">
        <v>0.54513888888888884</v>
      </c>
      <c r="Q90">
        <f t="shared" si="4"/>
        <v>178.24120000000028</v>
      </c>
      <c r="R90">
        <f t="shared" si="5"/>
        <v>100.09494999999993</v>
      </c>
      <c r="S90">
        <f t="shared" si="6"/>
        <v>17841.044001940016</v>
      </c>
      <c r="U90">
        <f t="shared" si="7"/>
        <v>31769.925377440097</v>
      </c>
    </row>
    <row r="91" spans="1:21" ht="15.75" customHeight="1" x14ac:dyDescent="0.25">
      <c r="A91" s="4" t="s">
        <v>66</v>
      </c>
      <c r="B91" s="4" t="s">
        <v>67</v>
      </c>
      <c r="C91" s="4" t="s">
        <v>8</v>
      </c>
      <c r="D91" s="4" t="s">
        <v>11</v>
      </c>
      <c r="E91" s="4">
        <v>1264.49</v>
      </c>
      <c r="F91" s="4">
        <v>16</v>
      </c>
      <c r="G91" s="4">
        <v>0.05</v>
      </c>
      <c r="H91" s="5">
        <v>45549</v>
      </c>
      <c r="I91" s="4">
        <v>480.51</v>
      </c>
      <c r="J91" s="4" t="str" cm="1">
        <f t="array" ref="J91">IFERROR(INDEX(B:B,MATCH(IF(E91&gt;1500,E91,"false"),E:E,0),0),"is not high value customer")</f>
        <v>is not high value customer</v>
      </c>
      <c r="L91" s="17">
        <v>0.54513888888888884</v>
      </c>
      <c r="Q91">
        <f t="shared" si="4"/>
        <v>288.40120000000036</v>
      </c>
      <c r="R91">
        <f t="shared" si="5"/>
        <v>139.07494999999994</v>
      </c>
      <c r="S91">
        <f t="shared" si="6"/>
        <v>40109.382469940036</v>
      </c>
      <c r="U91">
        <f t="shared" si="7"/>
        <v>83175.252161440207</v>
      </c>
    </row>
    <row r="92" spans="1:21" ht="15.75" customHeight="1" x14ac:dyDescent="0.25">
      <c r="A92" s="4" t="s">
        <v>45</v>
      </c>
      <c r="B92" s="4" t="s">
        <v>83</v>
      </c>
      <c r="C92" s="4" t="s">
        <v>9</v>
      </c>
      <c r="D92" s="4" t="s">
        <v>14</v>
      </c>
      <c r="E92" s="4">
        <v>1101.55</v>
      </c>
      <c r="F92" s="4">
        <v>4</v>
      </c>
      <c r="G92" s="4">
        <v>0.1</v>
      </c>
      <c r="H92" s="5">
        <v>45551</v>
      </c>
      <c r="I92" s="4">
        <v>346.99</v>
      </c>
      <c r="J92" s="4" t="str" cm="1">
        <f t="array" ref="J92">IFERROR(INDEX(B:B,MATCH(IF(E92&gt;1500,E92,"false"),E:E,0),0),"is not high value customer")</f>
        <v>is not high value customer</v>
      </c>
      <c r="L92" s="17">
        <v>0.54513888888888884</v>
      </c>
      <c r="Q92">
        <f t="shared" si="4"/>
        <v>125.4612000000003</v>
      </c>
      <c r="R92">
        <f t="shared" si="5"/>
        <v>5.5549499999999625</v>
      </c>
      <c r="S92">
        <f t="shared" si="6"/>
        <v>696.93069293999702</v>
      </c>
      <c r="U92">
        <f t="shared" si="7"/>
        <v>15740.512705440076</v>
      </c>
    </row>
    <row r="93" spans="1:21" ht="15.75" customHeight="1" x14ac:dyDescent="0.25">
      <c r="A93" s="4" t="s">
        <v>90</v>
      </c>
      <c r="B93" s="4" t="s">
        <v>39</v>
      </c>
      <c r="C93" s="4" t="s">
        <v>8</v>
      </c>
      <c r="D93" s="4" t="s">
        <v>14</v>
      </c>
      <c r="E93" s="4">
        <v>727.73</v>
      </c>
      <c r="F93" s="4">
        <v>1</v>
      </c>
      <c r="G93" s="4">
        <v>0.1</v>
      </c>
      <c r="H93" s="5">
        <v>45552</v>
      </c>
      <c r="I93" s="4">
        <v>229.23</v>
      </c>
      <c r="J93" s="4" t="str" cm="1">
        <f t="array" ref="J93">IFERROR(INDEX(B:B,MATCH(IF(E93&gt;1500,E93,"false"),E:E,0),0),"is not high value customer")</f>
        <v>is not high value customer</v>
      </c>
      <c r="L93" s="17">
        <v>0.54513888888888884</v>
      </c>
      <c r="Q93">
        <f t="shared" si="4"/>
        <v>-248.35879999999963</v>
      </c>
      <c r="R93">
        <f t="shared" si="5"/>
        <v>-112.20505000000006</v>
      </c>
      <c r="S93">
        <f t="shared" si="6"/>
        <v>27867.111571939971</v>
      </c>
      <c r="U93">
        <f t="shared" si="7"/>
        <v>61682.093537439818</v>
      </c>
    </row>
    <row r="94" spans="1:21" ht="15.75" customHeight="1" x14ac:dyDescent="0.25">
      <c r="A94" s="4" t="s">
        <v>91</v>
      </c>
      <c r="B94" s="4" t="s">
        <v>56</v>
      </c>
      <c r="C94" s="4" t="s">
        <v>6</v>
      </c>
      <c r="D94" s="4" t="s">
        <v>15</v>
      </c>
      <c r="E94" s="4">
        <v>875.41</v>
      </c>
      <c r="F94" s="4">
        <v>13</v>
      </c>
      <c r="G94" s="4">
        <v>0.15</v>
      </c>
      <c r="H94" s="5">
        <v>45552</v>
      </c>
      <c r="I94" s="4">
        <v>334.84</v>
      </c>
      <c r="J94" s="4" t="str" cm="1">
        <f t="array" ref="J94">IFERROR(INDEX(B:B,MATCH(IF(E94&gt;1500,E94,"false"),E:E,0),0),"is not high value customer")</f>
        <v>is not high value customer</v>
      </c>
      <c r="L94" s="17">
        <v>0.54513888888888884</v>
      </c>
      <c r="Q94">
        <f t="shared" si="4"/>
        <v>-100.67879999999968</v>
      </c>
      <c r="R94">
        <f t="shared" si="5"/>
        <v>-6.5950500000000716</v>
      </c>
      <c r="S94">
        <f t="shared" si="6"/>
        <v>663.98171994000506</v>
      </c>
      <c r="U94">
        <f t="shared" si="7"/>
        <v>10136.220769439937</v>
      </c>
    </row>
    <row r="95" spans="1:21" ht="15.75" customHeight="1" x14ac:dyDescent="0.25">
      <c r="A95" s="4" t="s">
        <v>84</v>
      </c>
      <c r="B95" s="4" t="s">
        <v>44</v>
      </c>
      <c r="C95" s="4" t="s">
        <v>9</v>
      </c>
      <c r="D95" s="4" t="s">
        <v>13</v>
      </c>
      <c r="E95" s="4">
        <v>1158.94</v>
      </c>
      <c r="F95" s="4">
        <v>19</v>
      </c>
      <c r="G95" s="4">
        <v>0.2</v>
      </c>
      <c r="H95" s="5">
        <v>45553</v>
      </c>
      <c r="I95" s="4">
        <v>231.79</v>
      </c>
      <c r="J95" s="4" t="str" cm="1">
        <f t="array" ref="J95">IFERROR(INDEX(B:B,MATCH(IF(E95&gt;1500,E95,"false"),E:E,0),0),"is not high value customer")</f>
        <v>is not high value customer</v>
      </c>
      <c r="L95" s="17">
        <v>0.54513888888888884</v>
      </c>
      <c r="Q95">
        <f t="shared" si="4"/>
        <v>182.8512000000004</v>
      </c>
      <c r="R95">
        <f t="shared" si="5"/>
        <v>-109.64505000000005</v>
      </c>
      <c r="S95">
        <f t="shared" si="6"/>
        <v>-20048.728966560055</v>
      </c>
      <c r="U95">
        <f t="shared" si="7"/>
        <v>33434.561341440145</v>
      </c>
    </row>
    <row r="96" spans="1:21" ht="15.75" customHeight="1" x14ac:dyDescent="0.25">
      <c r="A96" s="4" t="s">
        <v>92</v>
      </c>
      <c r="B96" s="4" t="s">
        <v>64</v>
      </c>
      <c r="C96" s="4" t="s">
        <v>8</v>
      </c>
      <c r="D96" s="4" t="s">
        <v>11</v>
      </c>
      <c r="E96" s="4">
        <v>966.3</v>
      </c>
      <c r="F96" s="4">
        <v>2</v>
      </c>
      <c r="G96" s="4">
        <v>0.15</v>
      </c>
      <c r="H96" s="5">
        <v>45557</v>
      </c>
      <c r="I96" s="4">
        <v>328.54</v>
      </c>
      <c r="J96" s="4" t="str" cm="1">
        <f t="array" ref="J96">IFERROR(INDEX(B:B,MATCH(IF(E96&gt;1500,E96,"false"),E:E,0),0),"is not high value customer")</f>
        <v>is not high value customer</v>
      </c>
      <c r="L96" s="17">
        <v>0.54513888888888884</v>
      </c>
      <c r="Q96">
        <f t="shared" si="4"/>
        <v>-9.7887999999996964</v>
      </c>
      <c r="R96">
        <f t="shared" si="5"/>
        <v>-12.895050000000026</v>
      </c>
      <c r="S96">
        <f t="shared" si="6"/>
        <v>126.22706543999634</v>
      </c>
      <c r="U96">
        <f t="shared" si="7"/>
        <v>95.820605439994054</v>
      </c>
    </row>
    <row r="97" spans="1:21" ht="15.75" customHeight="1" x14ac:dyDescent="0.25">
      <c r="A97" s="4" t="s">
        <v>85</v>
      </c>
      <c r="B97" s="4" t="s">
        <v>41</v>
      </c>
      <c r="C97" s="4" t="s">
        <v>8</v>
      </c>
      <c r="D97" s="4" t="s">
        <v>11</v>
      </c>
      <c r="E97" s="4">
        <v>917.48</v>
      </c>
      <c r="F97" s="4">
        <v>6</v>
      </c>
      <c r="G97" s="4">
        <v>0</v>
      </c>
      <c r="H97" s="5">
        <v>45558</v>
      </c>
      <c r="I97" s="4">
        <v>366.99</v>
      </c>
      <c r="J97" s="4" t="str" cm="1">
        <f t="array" ref="J97">IFERROR(INDEX(B:B,MATCH(IF(E97&gt;1500,E97,"false"),E:E,0),0),"is not high value customer")</f>
        <v>is not high value customer</v>
      </c>
      <c r="L97" s="17">
        <v>0.54513888888888884</v>
      </c>
      <c r="Q97">
        <f t="shared" si="4"/>
        <v>-58.608799999999633</v>
      </c>
      <c r="R97">
        <f t="shared" si="5"/>
        <v>25.554949999999963</v>
      </c>
      <c r="S97">
        <f t="shared" si="6"/>
        <v>-1497.7449535599885</v>
      </c>
      <c r="U97">
        <f t="shared" si="7"/>
        <v>3434.9914374399568</v>
      </c>
    </row>
    <row r="98" spans="1:21" ht="15.75" customHeight="1" x14ac:dyDescent="0.25">
      <c r="A98" s="4" t="s">
        <v>58</v>
      </c>
      <c r="B98" s="4" t="s">
        <v>78</v>
      </c>
      <c r="C98" s="4" t="s">
        <v>9</v>
      </c>
      <c r="D98" s="4" t="s">
        <v>14</v>
      </c>
      <c r="E98" s="4">
        <v>1172.97</v>
      </c>
      <c r="F98" s="4">
        <v>7</v>
      </c>
      <c r="G98" s="4">
        <v>0.15</v>
      </c>
      <c r="H98" s="5">
        <v>45559</v>
      </c>
      <c r="I98" s="4">
        <v>348.96</v>
      </c>
      <c r="J98" s="4" t="str" cm="1">
        <f t="array" ref="J98">IFERROR(INDEX(B:B,MATCH(IF(E98&gt;1500,E98,"false"),E:E,0),0),"is not high value customer")</f>
        <v>is not high value customer</v>
      </c>
      <c r="L98" s="17">
        <v>0.54513888888888884</v>
      </c>
      <c r="Q98">
        <f t="shared" si="4"/>
        <v>196.88120000000038</v>
      </c>
      <c r="R98">
        <f t="shared" si="5"/>
        <v>7.524949999999933</v>
      </c>
      <c r="S98">
        <f t="shared" si="6"/>
        <v>1481.5211859399897</v>
      </c>
      <c r="U98">
        <f t="shared" si="7"/>
        <v>38762.206913440146</v>
      </c>
    </row>
    <row r="99" spans="1:21" ht="15.75" customHeight="1" x14ac:dyDescent="0.25">
      <c r="A99" s="4" t="s">
        <v>74</v>
      </c>
      <c r="B99" s="4" t="s">
        <v>44</v>
      </c>
      <c r="C99" s="4" t="s">
        <v>7</v>
      </c>
      <c r="D99" s="4" t="s">
        <v>12</v>
      </c>
      <c r="E99" s="4">
        <v>1205.82</v>
      </c>
      <c r="F99" s="4">
        <v>11</v>
      </c>
      <c r="G99" s="4">
        <v>0.1</v>
      </c>
      <c r="H99" s="5">
        <v>45559</v>
      </c>
      <c r="I99" s="4">
        <v>542.62</v>
      </c>
      <c r="J99" s="4" t="str" cm="1">
        <f t="array" ref="J99">IFERROR(INDEX(B:B,MATCH(IF(E99&gt;1500,E99,"false"),E:E,0),0),"is not high value customer")</f>
        <v>is not high value customer</v>
      </c>
      <c r="L99" s="17">
        <v>0.54513888888888884</v>
      </c>
      <c r="Q99">
        <f t="shared" si="4"/>
        <v>229.73120000000029</v>
      </c>
      <c r="R99">
        <f t="shared" si="5"/>
        <v>201.18494999999996</v>
      </c>
      <c r="S99">
        <f t="shared" si="6"/>
        <v>46218.459985440051</v>
      </c>
      <c r="U99">
        <f t="shared" si="7"/>
        <v>52776.424253440135</v>
      </c>
    </row>
    <row r="100" spans="1:21" ht="15.75" customHeight="1" x14ac:dyDescent="0.25">
      <c r="A100" s="4" t="s">
        <v>40</v>
      </c>
      <c r="B100" s="4" t="s">
        <v>81</v>
      </c>
      <c r="C100" s="4" t="s">
        <v>9</v>
      </c>
      <c r="D100" s="4" t="s">
        <v>15</v>
      </c>
      <c r="E100" s="4">
        <v>826.93</v>
      </c>
      <c r="F100" s="4">
        <v>10</v>
      </c>
      <c r="G100" s="4">
        <v>0.2</v>
      </c>
      <c r="H100" s="5">
        <v>45564</v>
      </c>
      <c r="I100" s="4">
        <v>297.69</v>
      </c>
      <c r="J100" s="4" t="str" cm="1">
        <f t="array" ref="J100">IFERROR(INDEX(B:B,MATCH(IF(E100&gt;1500,E100,"false"),E:E,0),0),"is not high value customer")</f>
        <v>is not high value customer</v>
      </c>
      <c r="L100" s="17">
        <v>0.54513888888888884</v>
      </c>
      <c r="Q100">
        <f t="shared" si="4"/>
        <v>-149.1587999999997</v>
      </c>
      <c r="R100">
        <f t="shared" si="5"/>
        <v>-43.745050000000049</v>
      </c>
      <c r="S100">
        <f t="shared" si="6"/>
        <v>6524.9591639399941</v>
      </c>
      <c r="U100">
        <f t="shared" si="7"/>
        <v>22248.347617439911</v>
      </c>
    </row>
    <row r="101" spans="1:21" ht="15.75" customHeight="1" x14ac:dyDescent="0.25">
      <c r="A101" s="4" t="s">
        <v>84</v>
      </c>
      <c r="B101" s="4" t="s">
        <v>44</v>
      </c>
      <c r="C101" s="4" t="s">
        <v>5</v>
      </c>
      <c r="D101" s="4" t="s">
        <v>12</v>
      </c>
      <c r="E101" s="4">
        <v>902.19</v>
      </c>
      <c r="F101" s="4">
        <v>12</v>
      </c>
      <c r="G101" s="4">
        <v>0</v>
      </c>
      <c r="H101" s="5">
        <v>45564</v>
      </c>
      <c r="I101" s="4">
        <v>451.1</v>
      </c>
      <c r="J101" s="4" t="str" cm="1">
        <f t="array" ref="J101">IFERROR(INDEX(B:B,MATCH(IF(E101&gt;1500,E101,"false"),E:E,0),0),"is not high value customer")</f>
        <v>is not high value customer</v>
      </c>
      <c r="L101" s="17">
        <v>0.54513888888888884</v>
      </c>
      <c r="Q101">
        <f t="shared" si="4"/>
        <v>-73.898799999999596</v>
      </c>
      <c r="R101">
        <f t="shared" si="5"/>
        <v>109.66494999999998</v>
      </c>
      <c r="S101">
        <f t="shared" si="6"/>
        <v>-8104.1082070599541</v>
      </c>
      <c r="U101">
        <f t="shared" si="7"/>
        <v>5461.0326414399406</v>
      </c>
    </row>
    <row r="102" spans="1:21" ht="15.75" customHeight="1" x14ac:dyDescent="0.25">
      <c r="A102" s="4" t="s">
        <v>91</v>
      </c>
      <c r="B102" s="4" t="s">
        <v>56</v>
      </c>
      <c r="C102" s="4" t="s">
        <v>7</v>
      </c>
      <c r="D102" s="4" t="s">
        <v>11</v>
      </c>
      <c r="E102" s="4">
        <v>585.97</v>
      </c>
      <c r="F102" s="4">
        <v>17</v>
      </c>
      <c r="G102" s="4">
        <v>0.1</v>
      </c>
      <c r="H102" s="5">
        <v>45565</v>
      </c>
      <c r="I102" s="4">
        <v>210.95</v>
      </c>
      <c r="J102" s="4" t="str" cm="1">
        <f t="array" ref="J102">IFERROR(INDEX(B:B,MATCH(IF(E102&gt;1500,E102,"false"),E:E,0),0),"is not high value customer")</f>
        <v>is not high value customer</v>
      </c>
      <c r="L102" s="17">
        <v>0.54513888888888884</v>
      </c>
      <c r="Q102">
        <f t="shared" si="4"/>
        <v>-390.11879999999962</v>
      </c>
      <c r="R102">
        <f t="shared" si="5"/>
        <v>-130.48505000000006</v>
      </c>
      <c r="S102">
        <f t="shared" si="6"/>
        <v>50904.671123939974</v>
      </c>
      <c r="U102">
        <f t="shared" si="7"/>
        <v>152192.6781134397</v>
      </c>
    </row>
    <row r="103" spans="1:21" ht="15.75" customHeight="1" x14ac:dyDescent="0.25">
      <c r="A103" s="4" t="s">
        <v>77</v>
      </c>
      <c r="B103" s="4" t="s">
        <v>46</v>
      </c>
      <c r="C103" s="4" t="s">
        <v>7</v>
      </c>
      <c r="D103" s="4" t="s">
        <v>12</v>
      </c>
      <c r="E103" s="4">
        <v>990.19</v>
      </c>
      <c r="F103" s="4">
        <v>8</v>
      </c>
      <c r="G103" s="4">
        <v>0.1</v>
      </c>
      <c r="H103" s="5">
        <v>45565</v>
      </c>
      <c r="I103" s="4">
        <v>445.59</v>
      </c>
      <c r="J103" s="4" t="str" cm="1">
        <f t="array" ref="J103">IFERROR(INDEX(B:B,MATCH(IF(E103&gt;1500,E103,"false"),E:E,0),0),"is not high value customer")</f>
        <v>is not high value customer</v>
      </c>
      <c r="L103" s="17">
        <v>0.54513888888888884</v>
      </c>
      <c r="Q103">
        <f t="shared" si="4"/>
        <v>14.101200000000404</v>
      </c>
      <c r="R103">
        <f t="shared" si="5"/>
        <v>104.15494999999993</v>
      </c>
      <c r="S103">
        <f t="shared" si="6"/>
        <v>1468.7097809400411</v>
      </c>
      <c r="U103">
        <f t="shared" si="7"/>
        <v>198.84384144001137</v>
      </c>
    </row>
    <row r="104" spans="1:21" ht="15.75" customHeight="1" x14ac:dyDescent="0.25">
      <c r="A104" s="4" t="s">
        <v>61</v>
      </c>
      <c r="B104" s="4" t="s">
        <v>73</v>
      </c>
      <c r="C104" s="4" t="s">
        <v>5</v>
      </c>
      <c r="D104" s="4" t="s">
        <v>13</v>
      </c>
      <c r="E104" s="4">
        <v>1014.09</v>
      </c>
      <c r="F104" s="4">
        <v>13</v>
      </c>
      <c r="G104" s="4">
        <v>0.2</v>
      </c>
      <c r="H104" s="5">
        <v>45567</v>
      </c>
      <c r="I104" s="4">
        <v>202.82</v>
      </c>
      <c r="J104" s="4" t="str" cm="1">
        <f t="array" ref="J104">IFERROR(INDEX(B:B,MATCH(IF(E104&gt;1500,E104,"false"),E:E,0),0),"is not high value customer")</f>
        <v>is not high value customer</v>
      </c>
      <c r="L104" s="17">
        <v>0.54513888888888884</v>
      </c>
      <c r="Q104">
        <f t="shared" si="4"/>
        <v>38.001200000000381</v>
      </c>
      <c r="R104">
        <f t="shared" si="5"/>
        <v>-138.61505000000005</v>
      </c>
      <c r="S104">
        <f t="shared" si="6"/>
        <v>-5267.5382380600549</v>
      </c>
      <c r="U104">
        <f t="shared" si="7"/>
        <v>1444.091201440029</v>
      </c>
    </row>
    <row r="105" spans="1:21" ht="15.75" customHeight="1" x14ac:dyDescent="0.25">
      <c r="A105" s="4" t="s">
        <v>38</v>
      </c>
      <c r="B105" s="4" t="s">
        <v>65</v>
      </c>
      <c r="C105" s="4" t="s">
        <v>7</v>
      </c>
      <c r="D105" s="4" t="s">
        <v>13</v>
      </c>
      <c r="E105" s="4">
        <v>925.29</v>
      </c>
      <c r="F105" s="4">
        <v>17</v>
      </c>
      <c r="G105" s="4">
        <v>0</v>
      </c>
      <c r="H105" s="5">
        <v>45570</v>
      </c>
      <c r="I105" s="4">
        <v>231.32</v>
      </c>
      <c r="J105" s="4" t="str" cm="1">
        <f t="array" ref="J105">IFERROR(INDEX(B:B,MATCH(IF(E105&gt;1500,E105,"false"),E:E,0),0),"is not high value customer")</f>
        <v>is not high value customer</v>
      </c>
      <c r="L105" s="17">
        <v>0.54513888888888884</v>
      </c>
      <c r="Q105">
        <f t="shared" si="4"/>
        <v>-50.798799999999687</v>
      </c>
      <c r="R105">
        <f t="shared" si="5"/>
        <v>-110.11505000000005</v>
      </c>
      <c r="S105">
        <f t="shared" si="6"/>
        <v>5593.712401939968</v>
      </c>
      <c r="U105">
        <f t="shared" si="7"/>
        <v>2580.5180814399682</v>
      </c>
    </row>
    <row r="106" spans="1:21" ht="15.75" customHeight="1" x14ac:dyDescent="0.25">
      <c r="A106" s="4" t="s">
        <v>71</v>
      </c>
      <c r="B106" s="4" t="s">
        <v>64</v>
      </c>
      <c r="C106" s="4" t="s">
        <v>6</v>
      </c>
      <c r="D106" s="4" t="s">
        <v>14</v>
      </c>
      <c r="E106" s="4">
        <v>1286.54</v>
      </c>
      <c r="F106" s="4">
        <v>8</v>
      </c>
      <c r="G106" s="4">
        <v>0</v>
      </c>
      <c r="H106" s="5">
        <v>45575</v>
      </c>
      <c r="I106" s="4">
        <v>450.29</v>
      </c>
      <c r="J106" s="4" t="str" cm="1">
        <f t="array" ref="J106">IFERROR(INDEX(B:B,MATCH(IF(E106&gt;1500,E106,"false"),E:E,0),0),"is not high value customer")</f>
        <v>is not high value customer</v>
      </c>
      <c r="L106" s="17">
        <v>0.54513888888888884</v>
      </c>
      <c r="Q106">
        <f t="shared" si="4"/>
        <v>310.45120000000031</v>
      </c>
      <c r="R106">
        <f t="shared" si="5"/>
        <v>108.85494999999997</v>
      </c>
      <c r="S106">
        <f t="shared" si="6"/>
        <v>33794.149853440023</v>
      </c>
      <c r="U106">
        <f t="shared" si="7"/>
        <v>96379.947581440196</v>
      </c>
    </row>
    <row r="107" spans="1:21" ht="15.75" customHeight="1" x14ac:dyDescent="0.25">
      <c r="A107" s="4" t="s">
        <v>55</v>
      </c>
      <c r="B107" s="4" t="s">
        <v>81</v>
      </c>
      <c r="C107" s="4" t="s">
        <v>8</v>
      </c>
      <c r="D107" s="4" t="s">
        <v>11</v>
      </c>
      <c r="E107" s="4">
        <v>961.62</v>
      </c>
      <c r="F107" s="4">
        <v>8</v>
      </c>
      <c r="G107" s="4">
        <v>0.2</v>
      </c>
      <c r="H107" s="5">
        <v>45577</v>
      </c>
      <c r="I107" s="4">
        <v>307.72000000000003</v>
      </c>
      <c r="J107" s="4" t="str" cm="1">
        <f t="array" ref="J107">IFERROR(INDEX(B:B,MATCH(IF(E107&gt;1500,E107,"false"),E:E,0),0),"is not high value customer")</f>
        <v>is not high value customer</v>
      </c>
      <c r="L107" s="17">
        <v>0.54513888888888884</v>
      </c>
      <c r="Q107">
        <f t="shared" si="4"/>
        <v>-14.468799999999646</v>
      </c>
      <c r="R107">
        <f t="shared" si="5"/>
        <v>-33.715050000000019</v>
      </c>
      <c r="S107">
        <f t="shared" si="6"/>
        <v>487.81631543998833</v>
      </c>
      <c r="U107">
        <f t="shared" si="7"/>
        <v>209.34617343998977</v>
      </c>
    </row>
    <row r="108" spans="1:21" ht="15.75" customHeight="1" x14ac:dyDescent="0.25">
      <c r="A108" s="4" t="s">
        <v>61</v>
      </c>
      <c r="B108" s="4" t="s">
        <v>44</v>
      </c>
      <c r="C108" s="4" t="s">
        <v>6</v>
      </c>
      <c r="D108" s="4" t="s">
        <v>11</v>
      </c>
      <c r="E108" s="4">
        <v>1081.1400000000001</v>
      </c>
      <c r="F108" s="4">
        <v>19</v>
      </c>
      <c r="G108" s="4">
        <v>0.15</v>
      </c>
      <c r="H108" s="5">
        <v>45577</v>
      </c>
      <c r="I108" s="4">
        <v>367.59</v>
      </c>
      <c r="J108" s="4" t="str" cm="1">
        <f t="array" ref="J108">IFERROR(INDEX(B:B,MATCH(IF(E108&gt;1500,E108,"false"),E:E,0),0),"is not high value customer")</f>
        <v>is not high value customer</v>
      </c>
      <c r="L108" s="17">
        <v>0.54513888888888884</v>
      </c>
      <c r="Q108">
        <f t="shared" si="4"/>
        <v>105.05120000000045</v>
      </c>
      <c r="R108">
        <f t="shared" si="5"/>
        <v>26.154949999999928</v>
      </c>
      <c r="S108">
        <f t="shared" si="6"/>
        <v>2747.6088834400043</v>
      </c>
      <c r="U108">
        <f t="shared" si="7"/>
        <v>11035.754621440094</v>
      </c>
    </row>
    <row r="109" spans="1:21" ht="15.75" customHeight="1" x14ac:dyDescent="0.25">
      <c r="A109" s="4" t="s">
        <v>75</v>
      </c>
      <c r="B109" s="4" t="s">
        <v>44</v>
      </c>
      <c r="C109" s="4" t="s">
        <v>9</v>
      </c>
      <c r="D109" s="4" t="s">
        <v>12</v>
      </c>
      <c r="E109" s="4">
        <v>1923.66</v>
      </c>
      <c r="F109" s="4">
        <v>9</v>
      </c>
      <c r="G109" s="4">
        <v>0.2</v>
      </c>
      <c r="H109" s="5">
        <v>45580</v>
      </c>
      <c r="I109" s="4">
        <v>769.46</v>
      </c>
      <c r="J109" s="4" t="str" cm="1">
        <f t="array" ref="J109">IFERROR(INDEX(B:B,MATCH(IF(E109&gt;1500,E109,"false"),E:E,0),0),"is not high value customer")</f>
        <v>James Wilson</v>
      </c>
      <c r="L109" s="17">
        <v>0.54513888888888884</v>
      </c>
      <c r="Q109">
        <f t="shared" si="4"/>
        <v>947.57120000000043</v>
      </c>
      <c r="R109">
        <f t="shared" si="5"/>
        <v>428.02494999999999</v>
      </c>
      <c r="S109">
        <f t="shared" si="6"/>
        <v>405584.11550144019</v>
      </c>
      <c r="U109">
        <f t="shared" si="7"/>
        <v>897891.17906944081</v>
      </c>
    </row>
    <row r="110" spans="1:21" ht="15.75" customHeight="1" x14ac:dyDescent="0.25">
      <c r="A110" s="4" t="s">
        <v>71</v>
      </c>
      <c r="B110" s="4" t="s">
        <v>83</v>
      </c>
      <c r="C110" s="4" t="s">
        <v>5</v>
      </c>
      <c r="D110" s="4" t="s">
        <v>12</v>
      </c>
      <c r="E110" s="4">
        <v>728.71</v>
      </c>
      <c r="F110" s="4">
        <v>14</v>
      </c>
      <c r="G110" s="4">
        <v>0.1</v>
      </c>
      <c r="H110" s="5">
        <v>45581</v>
      </c>
      <c r="I110" s="4">
        <v>327.92</v>
      </c>
      <c r="J110" s="4" t="str" cm="1">
        <f t="array" ref="J110">IFERROR(INDEX(B:B,MATCH(IF(E110&gt;1500,E110,"false"),E:E,0),0),"is not high value customer")</f>
        <v>is not high value customer</v>
      </c>
      <c r="L110" s="17">
        <v>0.54513888888888884</v>
      </c>
      <c r="Q110">
        <f t="shared" si="4"/>
        <v>-247.37879999999961</v>
      </c>
      <c r="R110">
        <f t="shared" si="5"/>
        <v>-13.515050000000031</v>
      </c>
      <c r="S110">
        <f t="shared" si="6"/>
        <v>3343.3368509400025</v>
      </c>
      <c r="U110">
        <f t="shared" si="7"/>
        <v>61196.270689439807</v>
      </c>
    </row>
    <row r="111" spans="1:21" ht="15.75" customHeight="1" x14ac:dyDescent="0.25">
      <c r="A111" s="4" t="s">
        <v>36</v>
      </c>
      <c r="B111" s="4" t="s">
        <v>52</v>
      </c>
      <c r="C111" s="4" t="s">
        <v>5</v>
      </c>
      <c r="D111" s="4" t="s">
        <v>12</v>
      </c>
      <c r="E111" s="4">
        <v>1301.8900000000001</v>
      </c>
      <c r="F111" s="4">
        <v>7</v>
      </c>
      <c r="G111" s="4">
        <v>0.15</v>
      </c>
      <c r="H111" s="5">
        <v>45581</v>
      </c>
      <c r="I111" s="4">
        <v>553.29999999999995</v>
      </c>
      <c r="J111" s="4" t="str" cm="1">
        <f t="array" ref="J111">IFERROR(INDEX(B:B,MATCH(IF(E111&gt;1500,E111,"false"),E:E,0),0),"is not high value customer")</f>
        <v>is not high value customer</v>
      </c>
      <c r="L111" s="17">
        <v>0.54513888888888884</v>
      </c>
      <c r="Q111">
        <f t="shared" si="4"/>
        <v>325.80120000000045</v>
      </c>
      <c r="R111">
        <f t="shared" si="5"/>
        <v>211.86494999999991</v>
      </c>
      <c r="S111">
        <f t="shared" si="6"/>
        <v>69025.854947940068</v>
      </c>
      <c r="U111">
        <f t="shared" si="7"/>
        <v>106146.4219214403</v>
      </c>
    </row>
    <row r="112" spans="1:21" ht="15.75" customHeight="1" x14ac:dyDescent="0.25">
      <c r="A112" s="4" t="s">
        <v>87</v>
      </c>
      <c r="B112" s="4" t="s">
        <v>83</v>
      </c>
      <c r="C112" s="4" t="s">
        <v>6</v>
      </c>
      <c r="D112" s="4" t="s">
        <v>11</v>
      </c>
      <c r="E112" s="4">
        <v>980.18</v>
      </c>
      <c r="F112" s="4">
        <v>16</v>
      </c>
      <c r="G112" s="4">
        <v>0.1</v>
      </c>
      <c r="H112" s="5">
        <v>45582</v>
      </c>
      <c r="I112" s="4">
        <v>352.86</v>
      </c>
      <c r="J112" s="4" t="str" cm="1">
        <f t="array" ref="J112">IFERROR(INDEX(B:B,MATCH(IF(E112&gt;1500,E112,"false"),E:E,0),0),"is not high value customer")</f>
        <v>is not high value customer</v>
      </c>
      <c r="L112" s="17">
        <v>0.54513888888888884</v>
      </c>
      <c r="Q112">
        <f t="shared" si="4"/>
        <v>4.091200000000299</v>
      </c>
      <c r="R112">
        <f t="shared" si="5"/>
        <v>11.424949999999967</v>
      </c>
      <c r="S112">
        <f t="shared" si="6"/>
        <v>46.741755440003281</v>
      </c>
      <c r="U112">
        <f t="shared" si="7"/>
        <v>16.737917440002448</v>
      </c>
    </row>
    <row r="113" spans="1:21" ht="15.75" customHeight="1" x14ac:dyDescent="0.25">
      <c r="A113" s="4" t="s">
        <v>91</v>
      </c>
      <c r="B113" s="4" t="s">
        <v>44</v>
      </c>
      <c r="C113" s="4" t="s">
        <v>9</v>
      </c>
      <c r="D113" s="4" t="s">
        <v>12</v>
      </c>
      <c r="E113" s="4">
        <v>697.57</v>
      </c>
      <c r="F113" s="4">
        <v>17</v>
      </c>
      <c r="G113" s="4">
        <v>0.1</v>
      </c>
      <c r="H113" s="5">
        <v>45584</v>
      </c>
      <c r="I113" s="4">
        <v>313.91000000000003</v>
      </c>
      <c r="J113" s="4" t="str" cm="1">
        <f t="array" ref="J113">IFERROR(INDEX(B:B,MATCH(IF(E113&gt;1500,E113,"false"),E:E,0),0),"is not high value customer")</f>
        <v>is not high value customer</v>
      </c>
      <c r="L113" s="17">
        <v>0.54513888888888884</v>
      </c>
      <c r="Q113">
        <f t="shared" si="4"/>
        <v>-278.5187999999996</v>
      </c>
      <c r="R113">
        <f t="shared" si="5"/>
        <v>-27.525050000000022</v>
      </c>
      <c r="S113">
        <f t="shared" si="6"/>
        <v>7666.2438959399951</v>
      </c>
      <c r="U113">
        <f t="shared" si="7"/>
        <v>77572.721953439774</v>
      </c>
    </row>
    <row r="114" spans="1:21" ht="15.75" customHeight="1" x14ac:dyDescent="0.25">
      <c r="A114" s="4" t="s">
        <v>63</v>
      </c>
      <c r="B114" s="4" t="s">
        <v>88</v>
      </c>
      <c r="C114" s="4" t="s">
        <v>9</v>
      </c>
      <c r="D114" s="4" t="s">
        <v>14</v>
      </c>
      <c r="E114" s="4">
        <v>1193.6099999999999</v>
      </c>
      <c r="F114" s="4">
        <v>1</v>
      </c>
      <c r="G114" s="4">
        <v>0.15</v>
      </c>
      <c r="H114" s="5">
        <v>45584</v>
      </c>
      <c r="I114" s="4">
        <v>355.1</v>
      </c>
      <c r="J114" s="4" t="str" cm="1">
        <f t="array" ref="J114">IFERROR(INDEX(B:B,MATCH(IF(E114&gt;1500,E114,"false"),E:E,0),0),"is not high value customer")</f>
        <v>is not high value customer</v>
      </c>
      <c r="L114" s="17">
        <v>0.54513888888888884</v>
      </c>
      <c r="Q114">
        <f t="shared" si="4"/>
        <v>217.52120000000025</v>
      </c>
      <c r="R114">
        <f t="shared" si="5"/>
        <v>13.664949999999976</v>
      </c>
      <c r="S114">
        <f t="shared" si="6"/>
        <v>2972.4163219399984</v>
      </c>
      <c r="U114">
        <f t="shared" si="7"/>
        <v>47315.472449440109</v>
      </c>
    </row>
    <row r="115" spans="1:21" ht="15.75" customHeight="1" x14ac:dyDescent="0.25">
      <c r="A115" s="4" t="s">
        <v>51</v>
      </c>
      <c r="B115" s="4" t="s">
        <v>56</v>
      </c>
      <c r="C115" s="4" t="s">
        <v>8</v>
      </c>
      <c r="D115" s="4" t="s">
        <v>13</v>
      </c>
      <c r="E115" s="4">
        <v>771.02</v>
      </c>
      <c r="F115" s="4">
        <v>1</v>
      </c>
      <c r="G115" s="4">
        <v>0</v>
      </c>
      <c r="H115" s="5">
        <v>45585</v>
      </c>
      <c r="I115" s="4">
        <v>192.76</v>
      </c>
      <c r="J115" s="4" t="str" cm="1">
        <f t="array" ref="J115">IFERROR(INDEX(B:B,MATCH(IF(E115&gt;1500,E115,"false"),E:E,0),0),"is not high value customer")</f>
        <v>is not high value customer</v>
      </c>
      <c r="L115" s="17">
        <v>0.54513888888888884</v>
      </c>
      <c r="Q115">
        <f t="shared" si="4"/>
        <v>-205.06879999999967</v>
      </c>
      <c r="R115">
        <f t="shared" si="5"/>
        <v>-148.67505000000006</v>
      </c>
      <c r="S115">
        <f t="shared" si="6"/>
        <v>30488.614093439963</v>
      </c>
      <c r="U115">
        <f t="shared" si="7"/>
        <v>42053.212733439861</v>
      </c>
    </row>
    <row r="116" spans="1:21" ht="15.75" customHeight="1" x14ac:dyDescent="0.25">
      <c r="A116" s="4" t="s">
        <v>84</v>
      </c>
      <c r="B116" s="4" t="s">
        <v>86</v>
      </c>
      <c r="C116" s="4" t="s">
        <v>7</v>
      </c>
      <c r="D116" s="4" t="s">
        <v>12</v>
      </c>
      <c r="E116" s="4">
        <v>661.09</v>
      </c>
      <c r="F116" s="4">
        <v>1</v>
      </c>
      <c r="G116" s="4">
        <v>0.2</v>
      </c>
      <c r="H116" s="5">
        <v>45593</v>
      </c>
      <c r="I116" s="4">
        <v>264.44</v>
      </c>
      <c r="J116" s="4" t="str" cm="1">
        <f t="array" ref="J116">IFERROR(INDEX(B:B,MATCH(IF(E116&gt;1500,E116,"false"),E:E,0),0),"is not high value customer")</f>
        <v>is not high value customer</v>
      </c>
      <c r="L116" s="17">
        <v>0.54513888888888884</v>
      </c>
      <c r="Q116">
        <f t="shared" si="4"/>
        <v>-314.99879999999962</v>
      </c>
      <c r="R116">
        <f t="shared" si="5"/>
        <v>-76.995050000000049</v>
      </c>
      <c r="S116">
        <f t="shared" si="6"/>
        <v>24253.348355939987</v>
      </c>
      <c r="U116">
        <f t="shared" si="7"/>
        <v>99224.244001439758</v>
      </c>
    </row>
    <row r="117" spans="1:21" ht="15.75" customHeight="1" x14ac:dyDescent="0.25">
      <c r="A117" s="4" t="s">
        <v>38</v>
      </c>
      <c r="B117" s="4" t="s">
        <v>72</v>
      </c>
      <c r="C117" s="4" t="s">
        <v>9</v>
      </c>
      <c r="D117" s="4" t="s">
        <v>13</v>
      </c>
      <c r="E117" s="4">
        <v>688.83</v>
      </c>
      <c r="F117" s="4">
        <v>15</v>
      </c>
      <c r="G117" s="4">
        <v>0</v>
      </c>
      <c r="H117" s="5">
        <v>45595</v>
      </c>
      <c r="I117" s="4">
        <v>172.21</v>
      </c>
      <c r="J117" s="4" t="str" cm="1">
        <f t="array" ref="J117">IFERROR(INDEX(B:B,MATCH(IF(E117&gt;1500,E117,"false"),E:E,0),0),"is not high value customer")</f>
        <v>is not high value customer</v>
      </c>
      <c r="L117" s="17">
        <v>0.54513888888888884</v>
      </c>
      <c r="Q117">
        <f t="shared" si="4"/>
        <v>-287.25879999999961</v>
      </c>
      <c r="R117">
        <f t="shared" si="5"/>
        <v>-169.22505000000004</v>
      </c>
      <c r="S117">
        <f t="shared" si="6"/>
        <v>48611.384792939942</v>
      </c>
      <c r="U117">
        <f t="shared" si="7"/>
        <v>82517.61817743977</v>
      </c>
    </row>
    <row r="118" spans="1:21" ht="15.75" customHeight="1" x14ac:dyDescent="0.25">
      <c r="A118" s="4" t="s">
        <v>90</v>
      </c>
      <c r="B118" s="4" t="s">
        <v>48</v>
      </c>
      <c r="C118" s="4" t="s">
        <v>5</v>
      </c>
      <c r="D118" s="4" t="s">
        <v>11</v>
      </c>
      <c r="E118" s="4">
        <v>1249.0999999999999</v>
      </c>
      <c r="F118" s="4">
        <v>4</v>
      </c>
      <c r="G118" s="4">
        <v>0.05</v>
      </c>
      <c r="H118" s="5">
        <v>45597</v>
      </c>
      <c r="I118" s="4">
        <v>474.66</v>
      </c>
      <c r="J118" s="4" t="str" cm="1">
        <f t="array" ref="J118">IFERROR(INDEX(B:B,MATCH(IF(E118&gt;1500,E118,"false"),E:E,0),0),"is not high value customer")</f>
        <v>is not high value customer</v>
      </c>
      <c r="L118" s="17">
        <v>0.54513888888888884</v>
      </c>
      <c r="Q118">
        <f t="shared" si="4"/>
        <v>273.01120000000026</v>
      </c>
      <c r="R118">
        <f t="shared" si="5"/>
        <v>133.22494999999998</v>
      </c>
      <c r="S118">
        <f t="shared" si="6"/>
        <v>36371.903469440025</v>
      </c>
      <c r="U118">
        <f t="shared" si="7"/>
        <v>74535.115325440143</v>
      </c>
    </row>
    <row r="119" spans="1:21" ht="15.75" customHeight="1" x14ac:dyDescent="0.25">
      <c r="A119" s="4" t="s">
        <v>61</v>
      </c>
      <c r="B119" s="4" t="s">
        <v>44</v>
      </c>
      <c r="C119" s="4" t="s">
        <v>6</v>
      </c>
      <c r="D119" s="4" t="s">
        <v>15</v>
      </c>
      <c r="E119" s="4">
        <v>1014.22</v>
      </c>
      <c r="F119" s="4">
        <v>14</v>
      </c>
      <c r="G119" s="4">
        <v>0.05</v>
      </c>
      <c r="H119" s="5">
        <v>45599</v>
      </c>
      <c r="I119" s="4">
        <v>433.58</v>
      </c>
      <c r="J119" s="4" t="str" cm="1">
        <f t="array" ref="J119">IFERROR(INDEX(B:B,MATCH(IF(E119&gt;1500,E119,"false"),E:E,0),0),"is not high value customer")</f>
        <v>is not high value customer</v>
      </c>
      <c r="L119" s="17">
        <v>0.54513888888888884</v>
      </c>
      <c r="Q119">
        <f t="shared" si="4"/>
        <v>38.131200000000376</v>
      </c>
      <c r="R119">
        <f t="shared" si="5"/>
        <v>92.144949999999938</v>
      </c>
      <c r="S119">
        <f t="shared" si="6"/>
        <v>3513.5975174400323</v>
      </c>
      <c r="U119">
        <f t="shared" si="7"/>
        <v>1453.9884134400288</v>
      </c>
    </row>
    <row r="120" spans="1:21" ht="15.75" customHeight="1" x14ac:dyDescent="0.25">
      <c r="A120" s="4" t="s">
        <v>71</v>
      </c>
      <c r="B120" s="4" t="s">
        <v>65</v>
      </c>
      <c r="C120" s="4" t="s">
        <v>6</v>
      </c>
      <c r="D120" s="4" t="s">
        <v>11</v>
      </c>
      <c r="E120" s="4">
        <v>1010.58</v>
      </c>
      <c r="F120" s="4">
        <v>2</v>
      </c>
      <c r="G120" s="4">
        <v>0.15</v>
      </c>
      <c r="H120" s="5">
        <v>45605</v>
      </c>
      <c r="I120" s="4">
        <v>343.6</v>
      </c>
      <c r="J120" s="4" t="str" cm="1">
        <f t="array" ref="J120">IFERROR(INDEX(B:B,MATCH(IF(E120&gt;1500,E120,"false"),E:E,0),0),"is not high value customer")</f>
        <v>is not high value customer</v>
      </c>
      <c r="L120" s="17">
        <v>0.54513888888888884</v>
      </c>
      <c r="Q120">
        <f t="shared" si="4"/>
        <v>34.49120000000039</v>
      </c>
      <c r="R120">
        <f t="shared" si="5"/>
        <v>2.1649499999999762</v>
      </c>
      <c r="S120">
        <f t="shared" si="6"/>
        <v>74.671723440000022</v>
      </c>
      <c r="U120">
        <f t="shared" si="7"/>
        <v>1189.642877440027</v>
      </c>
    </row>
    <row r="121" spans="1:21" ht="15.75" customHeight="1" x14ac:dyDescent="0.25">
      <c r="A121" s="4" t="s">
        <v>49</v>
      </c>
      <c r="B121" s="4" t="s">
        <v>76</v>
      </c>
      <c r="C121" s="4" t="s">
        <v>7</v>
      </c>
      <c r="D121" s="4" t="s">
        <v>14</v>
      </c>
      <c r="E121" s="4">
        <v>957.29</v>
      </c>
      <c r="F121" s="4">
        <v>4</v>
      </c>
      <c r="G121" s="4">
        <v>0.05</v>
      </c>
      <c r="H121" s="5">
        <v>45605</v>
      </c>
      <c r="I121" s="4">
        <v>318.3</v>
      </c>
      <c r="J121" s="4" t="str" cm="1">
        <f t="array" ref="J121">IFERROR(INDEX(B:B,MATCH(IF(E121&gt;1500,E121,"false"),E:E,0),0),"is not high value customer")</f>
        <v>is not high value customer</v>
      </c>
      <c r="L121" s="17">
        <v>0.54513888888888884</v>
      </c>
      <c r="Q121">
        <f t="shared" si="4"/>
        <v>-18.798799999999687</v>
      </c>
      <c r="R121">
        <f t="shared" si="5"/>
        <v>-23.135050000000035</v>
      </c>
      <c r="S121">
        <f t="shared" si="6"/>
        <v>434.91117793999342</v>
      </c>
      <c r="U121">
        <f t="shared" si="7"/>
        <v>353.39488143998824</v>
      </c>
    </row>
    <row r="122" spans="1:21" ht="15.75" customHeight="1" x14ac:dyDescent="0.25">
      <c r="A122" s="4" t="s">
        <v>47</v>
      </c>
      <c r="B122" s="4" t="s">
        <v>62</v>
      </c>
      <c r="C122" s="4" t="s">
        <v>7</v>
      </c>
      <c r="D122" s="4" t="s">
        <v>14</v>
      </c>
      <c r="E122" s="4">
        <v>1077.92</v>
      </c>
      <c r="F122" s="4">
        <v>3</v>
      </c>
      <c r="G122" s="4">
        <v>0.05</v>
      </c>
      <c r="H122" s="5">
        <v>45608</v>
      </c>
      <c r="I122" s="4">
        <v>358.41</v>
      </c>
      <c r="J122" s="4" t="str" cm="1">
        <f t="array" ref="J122">IFERROR(INDEX(B:B,MATCH(IF(E122&gt;1500,E122,"false"),E:E,0),0),"is not high value customer")</f>
        <v>is not high value customer</v>
      </c>
      <c r="L122" s="17">
        <v>0.54513888888888884</v>
      </c>
      <c r="Q122">
        <f t="shared" si="4"/>
        <v>101.83120000000042</v>
      </c>
      <c r="R122">
        <f t="shared" si="5"/>
        <v>16.974949999999978</v>
      </c>
      <c r="S122">
        <f t="shared" si="6"/>
        <v>1728.5795284400049</v>
      </c>
      <c r="U122">
        <f t="shared" si="7"/>
        <v>10369.593293440086</v>
      </c>
    </row>
    <row r="123" spans="1:21" ht="15.75" customHeight="1" x14ac:dyDescent="0.25">
      <c r="A123" s="4" t="s">
        <v>69</v>
      </c>
      <c r="B123" s="4" t="s">
        <v>67</v>
      </c>
      <c r="C123" s="4" t="s">
        <v>8</v>
      </c>
      <c r="D123" s="4" t="s">
        <v>12</v>
      </c>
      <c r="E123" s="4">
        <v>1163.01</v>
      </c>
      <c r="F123" s="4">
        <v>5</v>
      </c>
      <c r="G123" s="4">
        <v>0</v>
      </c>
      <c r="H123" s="5">
        <v>45611</v>
      </c>
      <c r="I123" s="4">
        <v>581.5</v>
      </c>
      <c r="J123" s="4" t="str" cm="1">
        <f t="array" ref="J123">IFERROR(INDEX(B:B,MATCH(IF(E123&gt;1500,E123,"false"),E:E,0),0),"is not high value customer")</f>
        <v>is not high value customer</v>
      </c>
      <c r="L123" s="17">
        <v>0.54513888888888884</v>
      </c>
      <c r="Q123">
        <f t="shared" si="4"/>
        <v>186.92120000000034</v>
      </c>
      <c r="R123">
        <f t="shared" si="5"/>
        <v>240.06494999999995</v>
      </c>
      <c r="S123">
        <f t="shared" si="6"/>
        <v>44873.228531940076</v>
      </c>
      <c r="U123">
        <f t="shared" si="7"/>
        <v>34939.535009440129</v>
      </c>
    </row>
    <row r="124" spans="1:21" ht="15.75" customHeight="1" x14ac:dyDescent="0.25">
      <c r="A124" s="4" t="s">
        <v>71</v>
      </c>
      <c r="B124" s="4" t="s">
        <v>62</v>
      </c>
      <c r="C124" s="4" t="s">
        <v>6</v>
      </c>
      <c r="D124" s="4" t="s">
        <v>15</v>
      </c>
      <c r="E124" s="4">
        <v>1014.56</v>
      </c>
      <c r="F124" s="4">
        <v>10</v>
      </c>
      <c r="G124" s="4">
        <v>0.1</v>
      </c>
      <c r="H124" s="5">
        <v>45612</v>
      </c>
      <c r="I124" s="4">
        <v>410.9</v>
      </c>
      <c r="J124" s="4" t="str" cm="1">
        <f t="array" ref="J124">IFERROR(INDEX(B:B,MATCH(IF(E124&gt;1500,E124,"false"),E:E,0),0),"is not high value customer")</f>
        <v>is not high value customer</v>
      </c>
      <c r="L124" s="17">
        <v>0.54513888888888884</v>
      </c>
      <c r="Q124">
        <f t="shared" si="4"/>
        <v>38.471200000000294</v>
      </c>
      <c r="R124">
        <f t="shared" si="5"/>
        <v>69.464949999999931</v>
      </c>
      <c r="S124">
        <f t="shared" si="6"/>
        <v>2672.3999844400178</v>
      </c>
      <c r="U124">
        <f t="shared" si="7"/>
        <v>1480.0332294400228</v>
      </c>
    </row>
    <row r="125" spans="1:21" ht="15.75" customHeight="1" x14ac:dyDescent="0.25">
      <c r="A125" s="4" t="s">
        <v>36</v>
      </c>
      <c r="B125" s="4" t="s">
        <v>41</v>
      </c>
      <c r="C125" s="4" t="s">
        <v>8</v>
      </c>
      <c r="D125" s="4" t="s">
        <v>13</v>
      </c>
      <c r="E125" s="4">
        <v>718.04</v>
      </c>
      <c r="F125" s="4">
        <v>14</v>
      </c>
      <c r="G125" s="4">
        <v>0</v>
      </c>
      <c r="H125" s="5">
        <v>45613</v>
      </c>
      <c r="I125" s="4">
        <v>179.51</v>
      </c>
      <c r="J125" s="4" t="str" cm="1">
        <f t="array" ref="J125">IFERROR(INDEX(B:B,MATCH(IF(E125&gt;1500,E125,"false"),E:E,0),0),"is not high value customer")</f>
        <v>is not high value customer</v>
      </c>
      <c r="L125" s="17">
        <v>0.54513888888888884</v>
      </c>
      <c r="Q125">
        <f t="shared" si="4"/>
        <v>-258.04879999999969</v>
      </c>
      <c r="R125">
        <f t="shared" si="5"/>
        <v>-161.92505000000006</v>
      </c>
      <c r="S125">
        <f t="shared" si="6"/>
        <v>41784.564842439962</v>
      </c>
      <c r="U125">
        <f t="shared" si="7"/>
        <v>66589.183181439832</v>
      </c>
    </row>
    <row r="126" spans="1:21" ht="15.75" customHeight="1" x14ac:dyDescent="0.25">
      <c r="A126" s="4" t="s">
        <v>89</v>
      </c>
      <c r="B126" s="4" t="s">
        <v>41</v>
      </c>
      <c r="C126" s="4" t="s">
        <v>5</v>
      </c>
      <c r="D126" s="4" t="s">
        <v>12</v>
      </c>
      <c r="E126" s="4">
        <v>1277.8499999999999</v>
      </c>
      <c r="F126" s="4">
        <v>18</v>
      </c>
      <c r="G126" s="4">
        <v>0.2</v>
      </c>
      <c r="H126" s="5">
        <v>45613</v>
      </c>
      <c r="I126" s="4">
        <v>511.14</v>
      </c>
      <c r="J126" s="4" t="str" cm="1">
        <f t="array" ref="J126">IFERROR(INDEX(B:B,MATCH(IF(E126&gt;1500,E126,"false"),E:E,0),0),"is not high value customer")</f>
        <v>is not high value customer</v>
      </c>
      <c r="L126" s="17">
        <v>0.54513888888888884</v>
      </c>
      <c r="Q126">
        <f t="shared" si="4"/>
        <v>301.76120000000026</v>
      </c>
      <c r="R126">
        <f t="shared" si="5"/>
        <v>169.70494999999994</v>
      </c>
      <c r="S126">
        <f t="shared" si="6"/>
        <v>51210.369357940028</v>
      </c>
      <c r="U126">
        <f t="shared" si="7"/>
        <v>91059.821825440158</v>
      </c>
    </row>
    <row r="127" spans="1:21" ht="15.75" customHeight="1" x14ac:dyDescent="0.25">
      <c r="A127" s="4" t="s">
        <v>87</v>
      </c>
      <c r="B127" s="4" t="s">
        <v>44</v>
      </c>
      <c r="C127" s="4" t="s">
        <v>7</v>
      </c>
      <c r="D127" s="4" t="s">
        <v>13</v>
      </c>
      <c r="E127" s="4">
        <v>706.73</v>
      </c>
      <c r="F127" s="4">
        <v>1</v>
      </c>
      <c r="G127" s="4">
        <v>0.15</v>
      </c>
      <c r="H127" s="5">
        <v>45613</v>
      </c>
      <c r="I127" s="4">
        <v>150.18</v>
      </c>
      <c r="J127" s="4" t="str" cm="1">
        <f t="array" ref="J127">IFERROR(INDEX(B:B,MATCH(IF(E127&gt;1500,E127,"false"),E:E,0),0),"is not high value customer")</f>
        <v>is not high value customer</v>
      </c>
      <c r="L127" s="17">
        <v>0.54513888888888884</v>
      </c>
      <c r="Q127">
        <f t="shared" si="4"/>
        <v>-269.35879999999963</v>
      </c>
      <c r="R127">
        <f t="shared" si="5"/>
        <v>-191.25505000000004</v>
      </c>
      <c r="S127">
        <f t="shared" si="6"/>
        <v>51516.230761939943</v>
      </c>
      <c r="U127">
        <f t="shared" si="7"/>
        <v>72554.163137439798</v>
      </c>
    </row>
    <row r="128" spans="1:21" ht="15.75" customHeight="1" x14ac:dyDescent="0.25">
      <c r="A128" s="4" t="s">
        <v>82</v>
      </c>
      <c r="B128" s="4" t="s">
        <v>67</v>
      </c>
      <c r="C128" s="4" t="s">
        <v>6</v>
      </c>
      <c r="D128" s="4" t="s">
        <v>13</v>
      </c>
      <c r="E128" s="4">
        <v>1410.59</v>
      </c>
      <c r="F128" s="4">
        <v>15</v>
      </c>
      <c r="G128" s="4">
        <v>0</v>
      </c>
      <c r="H128" s="5">
        <v>45615</v>
      </c>
      <c r="I128" s="4">
        <v>352.65</v>
      </c>
      <c r="J128" s="4" t="str" cm="1">
        <f t="array" ref="J128">IFERROR(INDEX(B:B,MATCH(IF(E128&gt;1500,E128,"false"),E:E,0),0),"is not high value customer")</f>
        <v>is not high value customer</v>
      </c>
      <c r="L128" s="17">
        <v>0.54513888888888884</v>
      </c>
      <c r="Q128">
        <f t="shared" si="4"/>
        <v>434.50120000000027</v>
      </c>
      <c r="R128">
        <f t="shared" si="5"/>
        <v>11.214949999999931</v>
      </c>
      <c r="S128">
        <f t="shared" si="6"/>
        <v>4872.9092329399728</v>
      </c>
      <c r="U128">
        <f t="shared" si="7"/>
        <v>188791.29280144023</v>
      </c>
    </row>
    <row r="129" spans="1:21" ht="15.75" customHeight="1" x14ac:dyDescent="0.25">
      <c r="A129" s="4" t="s">
        <v>51</v>
      </c>
      <c r="B129" s="4" t="s">
        <v>78</v>
      </c>
      <c r="C129" s="4" t="s">
        <v>8</v>
      </c>
      <c r="D129" s="4" t="s">
        <v>14</v>
      </c>
      <c r="E129" s="4">
        <v>1350.33</v>
      </c>
      <c r="F129" s="4">
        <v>10</v>
      </c>
      <c r="G129" s="4">
        <v>0</v>
      </c>
      <c r="H129" s="5">
        <v>45615</v>
      </c>
      <c r="I129" s="4">
        <v>472.62</v>
      </c>
      <c r="J129" s="4" t="str" cm="1">
        <f t="array" ref="J129">IFERROR(INDEX(B:B,MATCH(IF(E129&gt;1500,E129,"false"),E:E,0),0),"is not high value customer")</f>
        <v>is not high value customer</v>
      </c>
      <c r="L129" s="17">
        <v>0.54513888888888884</v>
      </c>
      <c r="Q129">
        <f t="shared" si="4"/>
        <v>374.24120000000028</v>
      </c>
      <c r="R129">
        <f t="shared" si="5"/>
        <v>131.18494999999996</v>
      </c>
      <c r="S129">
        <f t="shared" si="6"/>
        <v>49094.81310994002</v>
      </c>
      <c r="U129">
        <f t="shared" si="7"/>
        <v>140056.47577744021</v>
      </c>
    </row>
    <row r="130" spans="1:21" ht="15.75" customHeight="1" x14ac:dyDescent="0.25">
      <c r="A130" s="4" t="s">
        <v>58</v>
      </c>
      <c r="B130" s="4" t="s">
        <v>62</v>
      </c>
      <c r="C130" s="4" t="s">
        <v>6</v>
      </c>
      <c r="D130" s="4" t="s">
        <v>13</v>
      </c>
      <c r="E130" s="4">
        <v>919.18</v>
      </c>
      <c r="F130" s="4">
        <v>4</v>
      </c>
      <c r="G130" s="4">
        <v>0.15</v>
      </c>
      <c r="H130" s="5">
        <v>45615</v>
      </c>
      <c r="I130" s="4">
        <v>195.33</v>
      </c>
      <c r="J130" s="4" t="str" cm="1">
        <f t="array" ref="J130">IFERROR(INDEX(B:B,MATCH(IF(E130&gt;1500,E130,"false"),E:E,0),0),"is not high value customer")</f>
        <v>is not high value customer</v>
      </c>
      <c r="L130" s="17">
        <v>0.54513888888888884</v>
      </c>
      <c r="Q130">
        <f t="shared" si="4"/>
        <v>-56.908799999999701</v>
      </c>
      <c r="R130">
        <f t="shared" si="5"/>
        <v>-146.10505000000003</v>
      </c>
      <c r="S130">
        <f t="shared" si="6"/>
        <v>8314.6630694399591</v>
      </c>
      <c r="U130">
        <f t="shared" si="7"/>
        <v>3238.6115174399661</v>
      </c>
    </row>
    <row r="131" spans="1:21" ht="15.75" customHeight="1" x14ac:dyDescent="0.25">
      <c r="A131" s="4" t="s">
        <v>91</v>
      </c>
      <c r="B131" s="4" t="s">
        <v>44</v>
      </c>
      <c r="C131" s="4" t="s">
        <v>9</v>
      </c>
      <c r="D131" s="4" t="s">
        <v>13</v>
      </c>
      <c r="E131" s="4">
        <v>258.51</v>
      </c>
      <c r="F131" s="4">
        <v>19</v>
      </c>
      <c r="G131" s="4">
        <v>0</v>
      </c>
      <c r="H131" s="5">
        <v>45616</v>
      </c>
      <c r="I131" s="4">
        <v>64.63</v>
      </c>
      <c r="J131" s="4" t="str" cm="1">
        <f t="array" ref="J131">IFERROR(INDEX(B:B,MATCH(IF(E131&gt;1500,E131,"false"),E:E,0),0),"is not high value customer")</f>
        <v>is not high value customer</v>
      </c>
      <c r="L131" s="17">
        <v>0.54513888888888884</v>
      </c>
      <c r="Q131">
        <f t="shared" ref="Q131:Q194" si="8">E131-$O$2</f>
        <v>-717.57879999999966</v>
      </c>
      <c r="R131">
        <f t="shared" ref="R131:R194" si="9">I131-$P$2</f>
        <v>-276.80505000000005</v>
      </c>
      <c r="S131">
        <f t="shared" ref="S131:S194" si="10">Q131*R131</f>
        <v>198629.43561293994</v>
      </c>
      <c r="U131">
        <f t="shared" ref="U131:U194" si="11">Q131*Q131</f>
        <v>514919.33420943952</v>
      </c>
    </row>
    <row r="132" spans="1:21" ht="15.75" customHeight="1" x14ac:dyDescent="0.25">
      <c r="A132" s="4" t="s">
        <v>80</v>
      </c>
      <c r="B132" s="4" t="s">
        <v>78</v>
      </c>
      <c r="C132" s="4" t="s">
        <v>6</v>
      </c>
      <c r="D132" s="4" t="s">
        <v>11</v>
      </c>
      <c r="E132" s="4">
        <v>1213.48</v>
      </c>
      <c r="F132" s="4">
        <v>5</v>
      </c>
      <c r="G132" s="4">
        <v>0.05</v>
      </c>
      <c r="H132" s="5">
        <v>45616</v>
      </c>
      <c r="I132" s="4">
        <v>461.12</v>
      </c>
      <c r="J132" s="4" t="str" cm="1">
        <f t="array" ref="J132">IFERROR(INDEX(B:B,MATCH(IF(E132&gt;1500,E132,"false"),E:E,0),0),"is not high value customer")</f>
        <v>is not high value customer</v>
      </c>
      <c r="L132" s="17">
        <v>0.54513888888888884</v>
      </c>
      <c r="Q132">
        <f t="shared" si="8"/>
        <v>237.39120000000037</v>
      </c>
      <c r="R132">
        <f t="shared" si="9"/>
        <v>119.68494999999996</v>
      </c>
      <c r="S132">
        <f t="shared" si="10"/>
        <v>28412.153902440034</v>
      </c>
      <c r="U132">
        <f t="shared" si="11"/>
        <v>56354.581837440172</v>
      </c>
    </row>
    <row r="133" spans="1:21" ht="15.75" customHeight="1" x14ac:dyDescent="0.25">
      <c r="A133" s="4" t="s">
        <v>74</v>
      </c>
      <c r="B133" s="4" t="s">
        <v>56</v>
      </c>
      <c r="C133" s="4" t="s">
        <v>5</v>
      </c>
      <c r="D133" s="4" t="s">
        <v>11</v>
      </c>
      <c r="E133" s="4">
        <v>1150.28</v>
      </c>
      <c r="F133" s="4">
        <v>8</v>
      </c>
      <c r="G133" s="4">
        <v>0.05</v>
      </c>
      <c r="H133" s="5">
        <v>45622</v>
      </c>
      <c r="I133" s="4">
        <v>437.11</v>
      </c>
      <c r="J133" s="4" t="str" cm="1">
        <f t="array" ref="J133">IFERROR(INDEX(B:B,MATCH(IF(E133&gt;1500,E133,"false"),E:E,0),0),"is not high value customer")</f>
        <v>is not high value customer</v>
      </c>
      <c r="L133" s="17">
        <v>0.54513888888888884</v>
      </c>
      <c r="Q133">
        <f t="shared" si="8"/>
        <v>174.19120000000032</v>
      </c>
      <c r="R133">
        <f t="shared" si="9"/>
        <v>95.674949999999967</v>
      </c>
      <c r="S133">
        <f t="shared" si="10"/>
        <v>16665.734350440023</v>
      </c>
      <c r="U133">
        <f t="shared" si="11"/>
        <v>30342.574157440111</v>
      </c>
    </row>
    <row r="134" spans="1:21" ht="15.75" customHeight="1" x14ac:dyDescent="0.25">
      <c r="A134" s="4" t="s">
        <v>55</v>
      </c>
      <c r="B134" s="4" t="s">
        <v>88</v>
      </c>
      <c r="C134" s="4" t="s">
        <v>8</v>
      </c>
      <c r="D134" s="4" t="s">
        <v>14</v>
      </c>
      <c r="E134" s="4">
        <v>853.86</v>
      </c>
      <c r="F134" s="4">
        <v>8</v>
      </c>
      <c r="G134" s="4">
        <v>0.1</v>
      </c>
      <c r="H134" s="5">
        <v>45622</v>
      </c>
      <c r="I134" s="4">
        <v>268.97000000000003</v>
      </c>
      <c r="J134" s="4" t="str" cm="1">
        <f t="array" ref="J134">IFERROR(INDEX(B:B,MATCH(IF(E134&gt;1500,E134,"false"),E:E,0),0),"is not high value customer")</f>
        <v>is not high value customer</v>
      </c>
      <c r="L134" s="17">
        <v>0.54513888888888884</v>
      </c>
      <c r="Q134">
        <f t="shared" si="8"/>
        <v>-122.22879999999964</v>
      </c>
      <c r="R134">
        <f t="shared" si="9"/>
        <v>-72.465050000000019</v>
      </c>
      <c r="S134">
        <f t="shared" si="10"/>
        <v>8857.3161034399764</v>
      </c>
      <c r="U134">
        <f t="shared" si="11"/>
        <v>14939.879549439911</v>
      </c>
    </row>
    <row r="135" spans="1:21" ht="15.75" customHeight="1" x14ac:dyDescent="0.25">
      <c r="A135" s="4" t="s">
        <v>92</v>
      </c>
      <c r="B135" s="4" t="s">
        <v>62</v>
      </c>
      <c r="C135" s="4" t="s">
        <v>8</v>
      </c>
      <c r="D135" s="4" t="s">
        <v>13</v>
      </c>
      <c r="E135" s="4">
        <v>1061.04</v>
      </c>
      <c r="F135" s="4">
        <v>1</v>
      </c>
      <c r="G135" s="4">
        <v>0</v>
      </c>
      <c r="H135" s="5">
        <v>45624</v>
      </c>
      <c r="I135" s="4">
        <v>265.26</v>
      </c>
      <c r="J135" s="4" t="str" cm="1">
        <f t="array" ref="J135">IFERROR(INDEX(B:B,MATCH(IF(E135&gt;1500,E135,"false"),E:E,0),0),"is not high value customer")</f>
        <v>is not high value customer</v>
      </c>
      <c r="L135" s="17">
        <v>0.54513888888888884</v>
      </c>
      <c r="Q135">
        <f t="shared" si="8"/>
        <v>84.951200000000313</v>
      </c>
      <c r="R135">
        <f t="shared" si="9"/>
        <v>-76.175050000000056</v>
      </c>
      <c r="S135">
        <f t="shared" si="10"/>
        <v>-6471.1619075600283</v>
      </c>
      <c r="U135">
        <f t="shared" si="11"/>
        <v>7216.7063814400535</v>
      </c>
    </row>
    <row r="136" spans="1:21" ht="15.75" customHeight="1" x14ac:dyDescent="0.25">
      <c r="A136" s="4" t="s">
        <v>47</v>
      </c>
      <c r="B136" s="4" t="s">
        <v>60</v>
      </c>
      <c r="C136" s="4" t="s">
        <v>9</v>
      </c>
      <c r="D136" s="4" t="s">
        <v>13</v>
      </c>
      <c r="E136" s="4">
        <v>894.55</v>
      </c>
      <c r="F136" s="4">
        <v>19</v>
      </c>
      <c r="G136" s="4">
        <v>0.2</v>
      </c>
      <c r="H136" s="5">
        <v>45625</v>
      </c>
      <c r="I136" s="4">
        <v>178.91</v>
      </c>
      <c r="J136" s="4" t="str" cm="1">
        <f t="array" ref="J136">IFERROR(INDEX(B:B,MATCH(IF(E136&gt;1500,E136,"false"),E:E,0),0),"is not high value customer")</f>
        <v>is not high value customer</v>
      </c>
      <c r="L136" s="17">
        <v>0.54513888888888884</v>
      </c>
      <c r="Q136">
        <f t="shared" si="8"/>
        <v>-81.538799999999696</v>
      </c>
      <c r="R136">
        <f t="shared" si="9"/>
        <v>-162.52505000000005</v>
      </c>
      <c r="S136">
        <f t="shared" si="10"/>
        <v>13252.097546939955</v>
      </c>
      <c r="U136">
        <f t="shared" si="11"/>
        <v>6648.5759054399505</v>
      </c>
    </row>
    <row r="137" spans="1:21" ht="15.75" customHeight="1" x14ac:dyDescent="0.25">
      <c r="A137" s="4" t="s">
        <v>45</v>
      </c>
      <c r="B137" s="4" t="s">
        <v>56</v>
      </c>
      <c r="C137" s="4" t="s">
        <v>7</v>
      </c>
      <c r="D137" s="4" t="s">
        <v>15</v>
      </c>
      <c r="E137" s="4">
        <v>833.91</v>
      </c>
      <c r="F137" s="4">
        <v>3</v>
      </c>
      <c r="G137" s="4">
        <v>0.05</v>
      </c>
      <c r="H137" s="5">
        <v>45626</v>
      </c>
      <c r="I137" s="4">
        <v>356.5</v>
      </c>
      <c r="J137" s="4" t="str" cm="1">
        <f t="array" ref="J137">IFERROR(INDEX(B:B,MATCH(IF(E137&gt;1500,E137,"false"),E:E,0),0),"is not high value customer")</f>
        <v>is not high value customer</v>
      </c>
      <c r="L137" s="17">
        <v>0.54513888888888884</v>
      </c>
      <c r="Q137">
        <f t="shared" si="8"/>
        <v>-142.17879999999968</v>
      </c>
      <c r="R137">
        <f t="shared" si="9"/>
        <v>15.064949999999953</v>
      </c>
      <c r="S137">
        <f t="shared" si="10"/>
        <v>-2141.9165130599886</v>
      </c>
      <c r="U137">
        <f t="shared" si="11"/>
        <v>20214.811169439909</v>
      </c>
    </row>
    <row r="138" spans="1:21" ht="15.75" customHeight="1" x14ac:dyDescent="0.25">
      <c r="A138" s="4" t="s">
        <v>75</v>
      </c>
      <c r="B138" s="4" t="s">
        <v>88</v>
      </c>
      <c r="C138" s="4" t="s">
        <v>9</v>
      </c>
      <c r="D138" s="4" t="s">
        <v>14</v>
      </c>
      <c r="E138" s="4">
        <v>820.19</v>
      </c>
      <c r="F138" s="4">
        <v>4</v>
      </c>
      <c r="G138" s="4">
        <v>0.2</v>
      </c>
      <c r="H138" s="5">
        <v>45630</v>
      </c>
      <c r="I138" s="4">
        <v>229.65</v>
      </c>
      <c r="J138" s="4" t="str" cm="1">
        <f t="array" ref="J138">IFERROR(INDEX(B:B,MATCH(IF(E138&gt;1500,E138,"false"),E:E,0),0),"is not high value customer")</f>
        <v>is not high value customer</v>
      </c>
      <c r="L138" s="17">
        <v>0.54513888888888884</v>
      </c>
      <c r="Q138">
        <f t="shared" si="8"/>
        <v>-155.8987999999996</v>
      </c>
      <c r="R138">
        <f t="shared" si="9"/>
        <v>-111.78505000000004</v>
      </c>
      <c r="S138">
        <f t="shared" si="10"/>
        <v>17427.155152939962</v>
      </c>
      <c r="U138">
        <f t="shared" si="11"/>
        <v>24304.435841439874</v>
      </c>
    </row>
    <row r="139" spans="1:21" ht="15.75" customHeight="1" x14ac:dyDescent="0.25">
      <c r="A139" s="4" t="s">
        <v>75</v>
      </c>
      <c r="B139" s="4" t="s">
        <v>56</v>
      </c>
      <c r="C139" s="4" t="s">
        <v>5</v>
      </c>
      <c r="D139" s="4" t="s">
        <v>13</v>
      </c>
      <c r="E139" s="4">
        <v>511.74</v>
      </c>
      <c r="F139" s="4">
        <v>8</v>
      </c>
      <c r="G139" s="4">
        <v>0.05</v>
      </c>
      <c r="H139" s="5">
        <v>45631</v>
      </c>
      <c r="I139" s="4">
        <v>121.54</v>
      </c>
      <c r="J139" s="4" t="str" cm="1">
        <f t="array" ref="J139">IFERROR(INDEX(B:B,MATCH(IF(E139&gt;1500,E139,"false"),E:E,0),0),"is not high value customer")</f>
        <v>is not high value customer</v>
      </c>
      <c r="L139" s="17">
        <v>0.54513888888888884</v>
      </c>
      <c r="Q139">
        <f t="shared" si="8"/>
        <v>-464.34879999999964</v>
      </c>
      <c r="R139">
        <f t="shared" si="9"/>
        <v>-219.89505000000003</v>
      </c>
      <c r="S139">
        <f t="shared" si="10"/>
        <v>102108.00259343993</v>
      </c>
      <c r="U139">
        <f t="shared" si="11"/>
        <v>215619.80806143966</v>
      </c>
    </row>
    <row r="140" spans="1:21" ht="15.75" customHeight="1" x14ac:dyDescent="0.25">
      <c r="A140" s="4" t="s">
        <v>82</v>
      </c>
      <c r="B140" s="4" t="s">
        <v>78</v>
      </c>
      <c r="C140" s="4" t="s">
        <v>8</v>
      </c>
      <c r="D140" s="4" t="s">
        <v>14</v>
      </c>
      <c r="E140" s="4">
        <v>806.03</v>
      </c>
      <c r="F140" s="4">
        <v>19</v>
      </c>
      <c r="G140" s="4">
        <v>0.05</v>
      </c>
      <c r="H140" s="5">
        <v>45638</v>
      </c>
      <c r="I140" s="4">
        <v>268</v>
      </c>
      <c r="J140" s="4" t="str" cm="1">
        <f t="array" ref="J140">IFERROR(INDEX(B:B,MATCH(IF(E140&gt;1500,E140,"false"),E:E,0),0),"is not high value customer")</f>
        <v>is not high value customer</v>
      </c>
      <c r="L140" s="17">
        <v>0.54513888888888884</v>
      </c>
      <c r="Q140">
        <f t="shared" si="8"/>
        <v>-170.05879999999968</v>
      </c>
      <c r="R140">
        <f t="shared" si="9"/>
        <v>-73.435050000000047</v>
      </c>
      <c r="S140">
        <f t="shared" si="10"/>
        <v>12488.276480939985</v>
      </c>
      <c r="U140">
        <f t="shared" si="11"/>
        <v>28919.995457439891</v>
      </c>
    </row>
    <row r="141" spans="1:21" ht="15.75" customHeight="1" x14ac:dyDescent="0.25">
      <c r="A141" s="4" t="s">
        <v>47</v>
      </c>
      <c r="B141" s="4" t="s">
        <v>46</v>
      </c>
      <c r="C141" s="4" t="s">
        <v>5</v>
      </c>
      <c r="D141" s="4" t="s">
        <v>14</v>
      </c>
      <c r="E141" s="4">
        <v>1432.47</v>
      </c>
      <c r="F141" s="4">
        <v>16</v>
      </c>
      <c r="G141" s="4">
        <v>0.15</v>
      </c>
      <c r="H141" s="5">
        <v>45640</v>
      </c>
      <c r="I141" s="4">
        <v>426.16</v>
      </c>
      <c r="J141" s="4" t="str" cm="1">
        <f t="array" ref="J141">IFERROR(INDEX(B:B,MATCH(IF(E141&gt;1500,E141,"false"),E:E,0),0),"is not high value customer")</f>
        <v>is not high value customer</v>
      </c>
      <c r="L141" s="17">
        <v>0.54513888888888884</v>
      </c>
      <c r="Q141">
        <f t="shared" si="8"/>
        <v>456.38120000000038</v>
      </c>
      <c r="R141">
        <f t="shared" si="9"/>
        <v>84.724949999999978</v>
      </c>
      <c r="S141">
        <f t="shared" si="10"/>
        <v>38666.874350940023</v>
      </c>
      <c r="U141">
        <f t="shared" si="11"/>
        <v>208283.79971344036</v>
      </c>
    </row>
    <row r="142" spans="1:21" ht="15.75" customHeight="1" x14ac:dyDescent="0.25">
      <c r="A142" s="4" t="s">
        <v>91</v>
      </c>
      <c r="B142" s="4" t="s">
        <v>48</v>
      </c>
      <c r="C142" s="4" t="s">
        <v>5</v>
      </c>
      <c r="D142" s="4" t="s">
        <v>13</v>
      </c>
      <c r="E142" s="4">
        <v>1488.58</v>
      </c>
      <c r="F142" s="4">
        <v>10</v>
      </c>
      <c r="G142" s="4">
        <v>0.15</v>
      </c>
      <c r="H142" s="5">
        <v>45640</v>
      </c>
      <c r="I142" s="4">
        <v>316.32</v>
      </c>
      <c r="J142" s="4" t="str" cm="1">
        <f t="array" ref="J142">IFERROR(INDEX(B:B,MATCH(IF(E142&gt;1500,E142,"false"),E:E,0),0),"is not high value customer")</f>
        <v>is not high value customer</v>
      </c>
      <c r="L142" s="17">
        <v>0.54513888888888884</v>
      </c>
      <c r="Q142">
        <f t="shared" si="8"/>
        <v>512.49120000000028</v>
      </c>
      <c r="R142">
        <f t="shared" si="9"/>
        <v>-25.115050000000053</v>
      </c>
      <c r="S142">
        <f t="shared" si="10"/>
        <v>-12871.242112560034</v>
      </c>
      <c r="U142">
        <f t="shared" si="11"/>
        <v>262647.23007744027</v>
      </c>
    </row>
    <row r="143" spans="1:21" ht="15.75" customHeight="1" x14ac:dyDescent="0.25">
      <c r="A143" s="4" t="s">
        <v>49</v>
      </c>
      <c r="B143" s="4" t="s">
        <v>83</v>
      </c>
      <c r="C143" s="4" t="s">
        <v>6</v>
      </c>
      <c r="D143" s="4" t="s">
        <v>11</v>
      </c>
      <c r="E143" s="4">
        <v>1231.26</v>
      </c>
      <c r="F143" s="4">
        <v>9</v>
      </c>
      <c r="G143" s="4">
        <v>0</v>
      </c>
      <c r="H143" s="5">
        <v>45646</v>
      </c>
      <c r="I143" s="4">
        <v>492.5</v>
      </c>
      <c r="J143" s="4" t="str" cm="1">
        <f t="array" ref="J143">IFERROR(INDEX(B:B,MATCH(IF(E143&gt;1500,E143,"false"),E:E,0),0),"is not high value customer")</f>
        <v>is not high value customer</v>
      </c>
      <c r="L143" s="17">
        <v>0.54513888888888884</v>
      </c>
      <c r="Q143">
        <f t="shared" si="8"/>
        <v>255.17120000000034</v>
      </c>
      <c r="R143">
        <f t="shared" si="9"/>
        <v>151.06494999999995</v>
      </c>
      <c r="S143">
        <f t="shared" si="10"/>
        <v>38547.424569440038</v>
      </c>
      <c r="U143">
        <f t="shared" si="11"/>
        <v>65112.341309440177</v>
      </c>
    </row>
    <row r="144" spans="1:21" ht="15.75" customHeight="1" x14ac:dyDescent="0.25">
      <c r="A144" s="4" t="s">
        <v>49</v>
      </c>
      <c r="B144" s="4" t="s">
        <v>60</v>
      </c>
      <c r="C144" s="4" t="s">
        <v>9</v>
      </c>
      <c r="D144" s="4" t="s">
        <v>13</v>
      </c>
      <c r="E144" s="4">
        <v>1161.67</v>
      </c>
      <c r="F144" s="4">
        <v>19</v>
      </c>
      <c r="G144" s="4">
        <v>0.2</v>
      </c>
      <c r="H144" s="5">
        <v>45647</v>
      </c>
      <c r="I144" s="4">
        <v>232.33</v>
      </c>
      <c r="J144" s="4" t="str" cm="1">
        <f t="array" ref="J144">IFERROR(INDEX(B:B,MATCH(IF(E144&gt;1500,E144,"false"),E:E,0),0),"is not high value customer")</f>
        <v>is not high value customer</v>
      </c>
      <c r="L144" s="17">
        <v>0.54513888888888884</v>
      </c>
      <c r="Q144">
        <f t="shared" si="8"/>
        <v>185.58120000000042</v>
      </c>
      <c r="R144">
        <f t="shared" si="9"/>
        <v>-109.10505000000003</v>
      </c>
      <c r="S144">
        <f t="shared" si="10"/>
        <v>-20247.846105060053</v>
      </c>
      <c r="U144">
        <f t="shared" si="11"/>
        <v>34440.38179344016</v>
      </c>
    </row>
    <row r="145" spans="1:21" ht="15.75" customHeight="1" x14ac:dyDescent="0.25">
      <c r="A145" s="4" t="s">
        <v>66</v>
      </c>
      <c r="B145" s="4" t="s">
        <v>62</v>
      </c>
      <c r="C145" s="4" t="s">
        <v>5</v>
      </c>
      <c r="D145" s="4" t="s">
        <v>15</v>
      </c>
      <c r="E145" s="4">
        <v>388.23</v>
      </c>
      <c r="F145" s="4">
        <v>16</v>
      </c>
      <c r="G145" s="4">
        <v>0.05</v>
      </c>
      <c r="H145" s="5">
        <v>45650</v>
      </c>
      <c r="I145" s="4">
        <v>165.97</v>
      </c>
      <c r="J145" s="4" t="str" cm="1">
        <f t="array" ref="J145">IFERROR(INDEX(B:B,MATCH(IF(E145&gt;1500,E145,"false"),E:E,0),0),"is not high value customer")</f>
        <v>is not high value customer</v>
      </c>
      <c r="L145" s="17">
        <v>0.54513888888888884</v>
      </c>
      <c r="Q145">
        <f t="shared" si="8"/>
        <v>-587.85879999999963</v>
      </c>
      <c r="R145">
        <f t="shared" si="9"/>
        <v>-175.46505000000005</v>
      </c>
      <c r="S145">
        <f t="shared" si="10"/>
        <v>103148.67373493996</v>
      </c>
      <c r="U145">
        <f t="shared" si="11"/>
        <v>345577.96873743954</v>
      </c>
    </row>
    <row r="146" spans="1:21" ht="15.75" customHeight="1" x14ac:dyDescent="0.25">
      <c r="A146" s="4" t="s">
        <v>89</v>
      </c>
      <c r="B146" s="4" t="s">
        <v>50</v>
      </c>
      <c r="C146" s="4" t="s">
        <v>7</v>
      </c>
      <c r="D146" s="4" t="s">
        <v>12</v>
      </c>
      <c r="E146" s="4">
        <v>1589.42</v>
      </c>
      <c r="F146" s="4">
        <v>6</v>
      </c>
      <c r="G146" s="4">
        <v>0.15</v>
      </c>
      <c r="H146" s="5">
        <v>45651</v>
      </c>
      <c r="I146" s="4">
        <v>675.5</v>
      </c>
      <c r="J146" s="4" t="str" cm="1">
        <f t="array" ref="J146">IFERROR(INDEX(B:B,MATCH(IF(E146&gt;1500,E146,"false"),E:E,0),0),"is not high value customer")</f>
        <v>Mary Davis</v>
      </c>
      <c r="L146" s="17">
        <v>0.54513888888888884</v>
      </c>
      <c r="Q146">
        <f t="shared" si="8"/>
        <v>613.33120000000042</v>
      </c>
      <c r="R146">
        <f t="shared" si="9"/>
        <v>334.06494999999995</v>
      </c>
      <c r="S146">
        <f t="shared" si="10"/>
        <v>204892.45666144011</v>
      </c>
      <c r="U146">
        <f t="shared" si="11"/>
        <v>376175.16089344054</v>
      </c>
    </row>
    <row r="147" spans="1:21" ht="15.75" customHeight="1" x14ac:dyDescent="0.25">
      <c r="A147" s="4" t="s">
        <v>47</v>
      </c>
      <c r="B147" s="4" t="s">
        <v>88</v>
      </c>
      <c r="C147" s="4" t="s">
        <v>7</v>
      </c>
      <c r="D147" s="4" t="s">
        <v>12</v>
      </c>
      <c r="E147" s="4">
        <v>336.66</v>
      </c>
      <c r="F147" s="4">
        <v>13</v>
      </c>
      <c r="G147" s="4">
        <v>0.2</v>
      </c>
      <c r="H147" s="5">
        <v>45651</v>
      </c>
      <c r="I147" s="4">
        <v>134.66</v>
      </c>
      <c r="J147" s="4" t="str" cm="1">
        <f t="array" ref="J147">IFERROR(INDEX(B:B,MATCH(IF(E147&gt;1500,E147,"false"),E:E,0),0),"is not high value customer")</f>
        <v>is not high value customer</v>
      </c>
      <c r="L147" s="17">
        <v>0.54513888888888884</v>
      </c>
      <c r="Q147">
        <f t="shared" si="8"/>
        <v>-639.42879999999968</v>
      </c>
      <c r="R147">
        <f t="shared" si="9"/>
        <v>-206.77505000000005</v>
      </c>
      <c r="S147">
        <f t="shared" si="10"/>
        <v>132217.92209143998</v>
      </c>
      <c r="U147">
        <f t="shared" si="11"/>
        <v>408869.1902694396</v>
      </c>
    </row>
    <row r="148" spans="1:21" ht="15.75" customHeight="1" x14ac:dyDescent="0.25">
      <c r="A148" s="4" t="s">
        <v>66</v>
      </c>
      <c r="B148" s="4" t="s">
        <v>44</v>
      </c>
      <c r="C148" s="4" t="s">
        <v>9</v>
      </c>
      <c r="D148" s="4" t="s">
        <v>11</v>
      </c>
      <c r="E148" s="4">
        <v>1353.79</v>
      </c>
      <c r="F148" s="4">
        <v>14</v>
      </c>
      <c r="G148" s="4">
        <v>0.1</v>
      </c>
      <c r="H148" s="5">
        <v>45656</v>
      </c>
      <c r="I148" s="4">
        <v>487.36</v>
      </c>
      <c r="J148" s="4" t="str" cm="1">
        <f t="array" ref="J148">IFERROR(INDEX(B:B,MATCH(IF(E148&gt;1500,E148,"false"),E:E,0),0),"is not high value customer")</f>
        <v>is not high value customer</v>
      </c>
      <c r="L148" s="17">
        <v>0.54513888888888884</v>
      </c>
      <c r="Q148">
        <f t="shared" si="8"/>
        <v>377.70120000000031</v>
      </c>
      <c r="R148">
        <f t="shared" si="9"/>
        <v>145.92494999999997</v>
      </c>
      <c r="S148">
        <f t="shared" si="10"/>
        <v>55116.028724940035</v>
      </c>
      <c r="U148">
        <f t="shared" si="11"/>
        <v>142658.19648144025</v>
      </c>
    </row>
    <row r="149" spans="1:21" ht="15.75" customHeight="1" x14ac:dyDescent="0.25">
      <c r="A149" s="4" t="s">
        <v>80</v>
      </c>
      <c r="B149" s="4" t="s">
        <v>86</v>
      </c>
      <c r="C149" s="4" t="s">
        <v>5</v>
      </c>
      <c r="D149" s="4" t="s">
        <v>12</v>
      </c>
      <c r="E149" s="4">
        <v>662.61</v>
      </c>
      <c r="F149" s="4">
        <v>11</v>
      </c>
      <c r="G149" s="4">
        <v>0.05</v>
      </c>
      <c r="H149" s="5">
        <v>45658</v>
      </c>
      <c r="I149" s="4">
        <v>314.74</v>
      </c>
      <c r="J149" s="4" t="str" cm="1">
        <f t="array" ref="J149">IFERROR(INDEX(B:B,MATCH(IF(E149&gt;1500,E149,"false"),E:E,0),0),"is not high value customer")</f>
        <v>is not high value customer</v>
      </c>
      <c r="L149" s="17">
        <v>0.54513888888888884</v>
      </c>
      <c r="Q149">
        <f t="shared" si="8"/>
        <v>-313.47879999999964</v>
      </c>
      <c r="R149">
        <f t="shared" si="9"/>
        <v>-26.695050000000037</v>
      </c>
      <c r="S149">
        <f t="shared" si="10"/>
        <v>8368.3322399400022</v>
      </c>
      <c r="U149">
        <f t="shared" si="11"/>
        <v>98268.958049439767</v>
      </c>
    </row>
    <row r="150" spans="1:21" ht="15.75" customHeight="1" x14ac:dyDescent="0.25">
      <c r="A150" s="4" t="s">
        <v>69</v>
      </c>
      <c r="B150" s="4" t="s">
        <v>65</v>
      </c>
      <c r="C150" s="4" t="s">
        <v>7</v>
      </c>
      <c r="D150" s="4" t="s">
        <v>15</v>
      </c>
      <c r="E150" s="4">
        <v>309.42</v>
      </c>
      <c r="F150" s="4">
        <v>1</v>
      </c>
      <c r="G150" s="4">
        <v>0.2</v>
      </c>
      <c r="H150" s="5">
        <v>45658</v>
      </c>
      <c r="I150" s="4">
        <v>111.39</v>
      </c>
      <c r="J150" s="4" t="str" cm="1">
        <f t="array" ref="J150">IFERROR(INDEX(B:B,MATCH(IF(E150&gt;1500,E150,"false"),E:E,0),0),"is not high value customer")</f>
        <v>is not high value customer</v>
      </c>
      <c r="L150" s="17">
        <v>0.54513888888888884</v>
      </c>
      <c r="Q150">
        <f t="shared" si="8"/>
        <v>-666.66879999999969</v>
      </c>
      <c r="R150">
        <f t="shared" si="9"/>
        <v>-230.04505000000006</v>
      </c>
      <c r="S150">
        <f t="shared" si="10"/>
        <v>153363.85742943996</v>
      </c>
      <c r="U150">
        <f t="shared" si="11"/>
        <v>444447.28889343957</v>
      </c>
    </row>
    <row r="151" spans="1:21" ht="15.75" customHeight="1" x14ac:dyDescent="0.25">
      <c r="A151" s="4" t="s">
        <v>80</v>
      </c>
      <c r="B151" s="4" t="s">
        <v>48</v>
      </c>
      <c r="C151" s="4" t="s">
        <v>7</v>
      </c>
      <c r="D151" s="4" t="s">
        <v>11</v>
      </c>
      <c r="E151" s="4">
        <v>884.63</v>
      </c>
      <c r="F151" s="4">
        <v>18</v>
      </c>
      <c r="G151" s="4">
        <v>0.1</v>
      </c>
      <c r="H151" s="5">
        <v>45659</v>
      </c>
      <c r="I151" s="4">
        <v>318.47000000000003</v>
      </c>
      <c r="J151" s="4" t="str" cm="1">
        <f t="array" ref="J151">IFERROR(INDEX(B:B,MATCH(IF(E151&gt;1500,E151,"false"),E:E,0),0),"is not high value customer")</f>
        <v>is not high value customer</v>
      </c>
      <c r="L151" s="17">
        <v>0.54513888888888884</v>
      </c>
      <c r="Q151">
        <f t="shared" si="8"/>
        <v>-91.458799999999655</v>
      </c>
      <c r="R151">
        <f t="shared" si="9"/>
        <v>-22.965050000000019</v>
      </c>
      <c r="S151">
        <f t="shared" si="10"/>
        <v>2100.3559149399939</v>
      </c>
      <c r="U151">
        <f t="shared" si="11"/>
        <v>8364.7120974399368</v>
      </c>
    </row>
    <row r="152" spans="1:21" ht="15.75" customHeight="1" x14ac:dyDescent="0.25">
      <c r="A152" s="4" t="s">
        <v>69</v>
      </c>
      <c r="B152" s="4" t="s">
        <v>44</v>
      </c>
      <c r="C152" s="4" t="s">
        <v>5</v>
      </c>
      <c r="D152" s="4" t="s">
        <v>15</v>
      </c>
      <c r="E152" s="4">
        <v>745.05</v>
      </c>
      <c r="F152" s="4">
        <v>10</v>
      </c>
      <c r="G152" s="4">
        <v>0.1</v>
      </c>
      <c r="H152" s="5">
        <v>45660</v>
      </c>
      <c r="I152" s="4">
        <v>301.75</v>
      </c>
      <c r="J152" s="4" t="str" cm="1">
        <f t="array" ref="J152">IFERROR(INDEX(B:B,MATCH(IF(E152&gt;1500,E152,"false"),E:E,0),0),"is not high value customer")</f>
        <v>is not high value customer</v>
      </c>
      <c r="L152" s="17">
        <v>0.54513888888888884</v>
      </c>
      <c r="Q152">
        <f t="shared" si="8"/>
        <v>-231.0387999999997</v>
      </c>
      <c r="R152">
        <f t="shared" si="9"/>
        <v>-39.685050000000047</v>
      </c>
      <c r="S152">
        <f t="shared" si="10"/>
        <v>9168.7863299399978</v>
      </c>
      <c r="U152">
        <f t="shared" si="11"/>
        <v>53378.927105439863</v>
      </c>
    </row>
    <row r="153" spans="1:21" ht="15.75" customHeight="1" x14ac:dyDescent="0.25">
      <c r="A153" s="4" t="s">
        <v>77</v>
      </c>
      <c r="B153" s="4" t="s">
        <v>41</v>
      </c>
      <c r="C153" s="4" t="s">
        <v>8</v>
      </c>
      <c r="D153" s="4" t="s">
        <v>12</v>
      </c>
      <c r="E153" s="4">
        <v>870.23</v>
      </c>
      <c r="F153" s="4">
        <v>5</v>
      </c>
      <c r="G153" s="4">
        <v>0.05</v>
      </c>
      <c r="H153" s="5">
        <v>45660</v>
      </c>
      <c r="I153" s="4">
        <v>413.36</v>
      </c>
      <c r="J153" s="4" t="str" cm="1">
        <f t="array" ref="J153">IFERROR(INDEX(B:B,MATCH(IF(E153&gt;1500,E153,"false"),E:E,0),0),"is not high value customer")</f>
        <v>is not high value customer</v>
      </c>
      <c r="L153" s="17">
        <v>0.54513888888888884</v>
      </c>
      <c r="Q153">
        <f t="shared" si="8"/>
        <v>-105.85879999999963</v>
      </c>
      <c r="R153">
        <f t="shared" si="9"/>
        <v>71.924949999999967</v>
      </c>
      <c r="S153">
        <f t="shared" si="10"/>
        <v>-7613.8888970599701</v>
      </c>
      <c r="U153">
        <f t="shared" si="11"/>
        <v>11206.085537439922</v>
      </c>
    </row>
    <row r="154" spans="1:21" ht="15.75" customHeight="1" x14ac:dyDescent="0.25">
      <c r="A154" s="4" t="s">
        <v>53</v>
      </c>
      <c r="B154" s="4" t="s">
        <v>48</v>
      </c>
      <c r="C154" s="4" t="s">
        <v>9</v>
      </c>
      <c r="D154" s="4" t="s">
        <v>14</v>
      </c>
      <c r="E154" s="4">
        <v>862.19</v>
      </c>
      <c r="F154" s="4">
        <v>18</v>
      </c>
      <c r="G154" s="4">
        <v>0.05</v>
      </c>
      <c r="H154" s="5">
        <v>45663</v>
      </c>
      <c r="I154" s="4">
        <v>286.68</v>
      </c>
      <c r="J154" s="4" t="str" cm="1">
        <f t="array" ref="J154">IFERROR(INDEX(B:B,MATCH(IF(E154&gt;1500,E154,"false"),E:E,0),0),"is not high value customer")</f>
        <v>is not high value customer</v>
      </c>
      <c r="L154" s="17">
        <v>0.54513888888888884</v>
      </c>
      <c r="Q154">
        <f t="shared" si="8"/>
        <v>-113.8987999999996</v>
      </c>
      <c r="R154">
        <f t="shared" si="9"/>
        <v>-54.75505000000004</v>
      </c>
      <c r="S154">
        <f t="shared" si="10"/>
        <v>6236.5344889399821</v>
      </c>
      <c r="U154">
        <f t="shared" si="11"/>
        <v>12972.936641439908</v>
      </c>
    </row>
    <row r="155" spans="1:21" ht="15.75" customHeight="1" x14ac:dyDescent="0.25">
      <c r="A155" s="4" t="s">
        <v>90</v>
      </c>
      <c r="B155" s="4" t="s">
        <v>76</v>
      </c>
      <c r="C155" s="4" t="s">
        <v>7</v>
      </c>
      <c r="D155" s="4" t="s">
        <v>12</v>
      </c>
      <c r="E155" s="4">
        <v>1171.18</v>
      </c>
      <c r="F155" s="4">
        <v>19</v>
      </c>
      <c r="G155" s="4">
        <v>0.05</v>
      </c>
      <c r="H155" s="5">
        <v>45667</v>
      </c>
      <c r="I155" s="4">
        <v>556.30999999999995</v>
      </c>
      <c r="J155" s="4" t="str" cm="1">
        <f t="array" ref="J155">IFERROR(INDEX(B:B,MATCH(IF(E155&gt;1500,E155,"false"),E:E,0),0),"is not high value customer")</f>
        <v>is not high value customer</v>
      </c>
      <c r="L155" s="17">
        <v>0.54513888888888884</v>
      </c>
      <c r="Q155">
        <f t="shared" si="8"/>
        <v>195.09120000000041</v>
      </c>
      <c r="R155">
        <f t="shared" si="9"/>
        <v>214.8749499999999</v>
      </c>
      <c r="S155">
        <f t="shared" si="10"/>
        <v>41920.21184544007</v>
      </c>
      <c r="U155">
        <f t="shared" si="11"/>
        <v>38060.576317440158</v>
      </c>
    </row>
    <row r="156" spans="1:21" ht="15.75" customHeight="1" x14ac:dyDescent="0.25">
      <c r="A156" s="4" t="s">
        <v>75</v>
      </c>
      <c r="B156" s="4" t="s">
        <v>39</v>
      </c>
      <c r="C156" s="4" t="s">
        <v>8</v>
      </c>
      <c r="D156" s="4" t="s">
        <v>14</v>
      </c>
      <c r="E156" s="4">
        <v>1054.56</v>
      </c>
      <c r="F156" s="4">
        <v>11</v>
      </c>
      <c r="G156" s="4">
        <v>0.1</v>
      </c>
      <c r="H156" s="5">
        <v>45669</v>
      </c>
      <c r="I156" s="4">
        <v>332.19</v>
      </c>
      <c r="J156" s="4" t="str" cm="1">
        <f t="array" ref="J156">IFERROR(INDEX(B:B,MATCH(IF(E156&gt;1500,E156,"false"),E:E,0),0),"is not high value customer")</f>
        <v>is not high value customer</v>
      </c>
      <c r="L156" s="17">
        <v>0.54513888888888884</v>
      </c>
      <c r="Q156">
        <f t="shared" si="8"/>
        <v>78.471200000000294</v>
      </c>
      <c r="R156">
        <f t="shared" si="9"/>
        <v>-9.2450500000000488</v>
      </c>
      <c r="S156">
        <f t="shared" si="10"/>
        <v>-725.47016756000653</v>
      </c>
      <c r="U156">
        <f t="shared" si="11"/>
        <v>6157.7292294400459</v>
      </c>
    </row>
    <row r="157" spans="1:21" ht="15.75" customHeight="1" x14ac:dyDescent="0.25">
      <c r="A157" s="4" t="s">
        <v>75</v>
      </c>
      <c r="B157" s="4" t="s">
        <v>44</v>
      </c>
      <c r="C157" s="4" t="s">
        <v>7</v>
      </c>
      <c r="D157" s="4" t="s">
        <v>13</v>
      </c>
      <c r="E157" s="4">
        <v>1681.21</v>
      </c>
      <c r="F157" s="4">
        <v>5</v>
      </c>
      <c r="G157" s="4">
        <v>0.2</v>
      </c>
      <c r="H157" s="5">
        <v>45670</v>
      </c>
      <c r="I157" s="4">
        <v>336.24</v>
      </c>
      <c r="J157" s="4" t="str" cm="1">
        <f t="array" ref="J157">IFERROR(INDEX(B:B,MATCH(IF(E157&gt;1500,E157,"false"),E:E,0),0),"is not high value customer")</f>
        <v>James Wilson</v>
      </c>
      <c r="L157" s="17">
        <v>0.54513888888888884</v>
      </c>
      <c r="Q157">
        <f t="shared" si="8"/>
        <v>705.12120000000039</v>
      </c>
      <c r="R157">
        <f t="shared" si="9"/>
        <v>-5.1950500000000375</v>
      </c>
      <c r="S157">
        <f t="shared" si="10"/>
        <v>-3663.1398900600284</v>
      </c>
      <c r="U157">
        <f t="shared" si="11"/>
        <v>497195.90668944054</v>
      </c>
    </row>
    <row r="158" spans="1:21" ht="15.75" customHeight="1" x14ac:dyDescent="0.25">
      <c r="A158" s="4" t="s">
        <v>75</v>
      </c>
      <c r="B158" s="4" t="s">
        <v>54</v>
      </c>
      <c r="C158" s="4" t="s">
        <v>9</v>
      </c>
      <c r="D158" s="4" t="s">
        <v>12</v>
      </c>
      <c r="E158" s="4">
        <v>379.77</v>
      </c>
      <c r="F158" s="4">
        <v>9</v>
      </c>
      <c r="G158" s="4">
        <v>0.05</v>
      </c>
      <c r="H158" s="5">
        <v>45673</v>
      </c>
      <c r="I158" s="4">
        <v>180.39</v>
      </c>
      <c r="J158" s="4" t="str" cm="1">
        <f t="array" ref="J158">IFERROR(INDEX(B:B,MATCH(IF(E158&gt;1500,E158,"false"),E:E,0),0),"is not high value customer")</f>
        <v>is not high value customer</v>
      </c>
      <c r="L158" s="17">
        <v>0.54513888888888884</v>
      </c>
      <c r="Q158">
        <f t="shared" si="8"/>
        <v>-596.31879999999967</v>
      </c>
      <c r="R158">
        <f t="shared" si="9"/>
        <v>-161.04505000000006</v>
      </c>
      <c r="S158">
        <f t="shared" si="10"/>
        <v>96034.190961939981</v>
      </c>
      <c r="U158">
        <f t="shared" si="11"/>
        <v>355596.11123343959</v>
      </c>
    </row>
    <row r="159" spans="1:21" ht="15.75" customHeight="1" x14ac:dyDescent="0.25">
      <c r="A159" s="4" t="s">
        <v>61</v>
      </c>
      <c r="B159" s="4" t="s">
        <v>62</v>
      </c>
      <c r="C159" s="4" t="s">
        <v>5</v>
      </c>
      <c r="D159" s="4" t="s">
        <v>12</v>
      </c>
      <c r="E159" s="4">
        <v>1076.33</v>
      </c>
      <c r="F159" s="4">
        <v>2</v>
      </c>
      <c r="G159" s="4">
        <v>0.1</v>
      </c>
      <c r="H159" s="5">
        <v>45674</v>
      </c>
      <c r="I159" s="4">
        <v>484.35</v>
      </c>
      <c r="J159" s="4" t="str" cm="1">
        <f t="array" ref="J159">IFERROR(INDEX(B:B,MATCH(IF(E159&gt;1500,E159,"false"),E:E,0),0),"is not high value customer")</f>
        <v>is not high value customer</v>
      </c>
      <c r="L159" s="17">
        <v>0.54513888888888884</v>
      </c>
      <c r="Q159">
        <f t="shared" si="8"/>
        <v>100.24120000000028</v>
      </c>
      <c r="R159">
        <f t="shared" si="9"/>
        <v>142.91494999999998</v>
      </c>
      <c r="S159">
        <f t="shared" si="10"/>
        <v>14325.966085940037</v>
      </c>
      <c r="U159">
        <f t="shared" si="11"/>
        <v>10048.298177440056</v>
      </c>
    </row>
    <row r="160" spans="1:21" ht="15.75" customHeight="1" x14ac:dyDescent="0.25">
      <c r="A160" s="4" t="s">
        <v>61</v>
      </c>
      <c r="B160" s="4" t="s">
        <v>50</v>
      </c>
      <c r="C160" s="4" t="s">
        <v>5</v>
      </c>
      <c r="D160" s="4" t="s">
        <v>15</v>
      </c>
      <c r="E160" s="4">
        <v>1250.71</v>
      </c>
      <c r="F160" s="4">
        <v>7</v>
      </c>
      <c r="G160" s="4">
        <v>0</v>
      </c>
      <c r="H160" s="5">
        <v>45674</v>
      </c>
      <c r="I160" s="4">
        <v>562.82000000000005</v>
      </c>
      <c r="J160" s="4" t="str" cm="1">
        <f t="array" ref="J160">IFERROR(INDEX(B:B,MATCH(IF(E160&gt;1500,E160,"false"),E:E,0),0),"is not high value customer")</f>
        <v>is not high value customer</v>
      </c>
      <c r="L160" s="17">
        <v>0.54513888888888884</v>
      </c>
      <c r="Q160">
        <f t="shared" si="8"/>
        <v>274.62120000000039</v>
      </c>
      <c r="R160">
        <f t="shared" si="9"/>
        <v>221.38495</v>
      </c>
      <c r="S160">
        <f t="shared" si="10"/>
        <v>60797.000630940085</v>
      </c>
      <c r="U160">
        <f t="shared" si="11"/>
        <v>75416.803489440208</v>
      </c>
    </row>
    <row r="161" spans="1:21" ht="15.75" customHeight="1" x14ac:dyDescent="0.25">
      <c r="A161" s="4" t="s">
        <v>57</v>
      </c>
      <c r="B161" s="4" t="s">
        <v>41</v>
      </c>
      <c r="C161" s="4" t="s">
        <v>8</v>
      </c>
      <c r="D161" s="4" t="s">
        <v>12</v>
      </c>
      <c r="E161" s="4">
        <v>1118.3399999999999</v>
      </c>
      <c r="F161" s="4">
        <v>6</v>
      </c>
      <c r="G161" s="4">
        <v>0.2</v>
      </c>
      <c r="H161" s="5">
        <v>45674</v>
      </c>
      <c r="I161" s="4">
        <v>447.34</v>
      </c>
      <c r="J161" s="4" t="str" cm="1">
        <f t="array" ref="J161">IFERROR(INDEX(B:B,MATCH(IF(E161&gt;1500,E161,"false"),E:E,0),0),"is not high value customer")</f>
        <v>is not high value customer</v>
      </c>
      <c r="L161" s="17">
        <v>0.54513888888888884</v>
      </c>
      <c r="Q161">
        <f t="shared" si="8"/>
        <v>142.25120000000027</v>
      </c>
      <c r="R161">
        <f t="shared" si="9"/>
        <v>105.90494999999993</v>
      </c>
      <c r="S161">
        <f t="shared" si="10"/>
        <v>15065.106223440018</v>
      </c>
      <c r="U161">
        <f t="shared" si="11"/>
        <v>20235.403901440077</v>
      </c>
    </row>
    <row r="162" spans="1:21" ht="15.75" customHeight="1" x14ac:dyDescent="0.25">
      <c r="A162" s="4" t="s">
        <v>87</v>
      </c>
      <c r="B162" s="4" t="s">
        <v>70</v>
      </c>
      <c r="C162" s="4" t="s">
        <v>7</v>
      </c>
      <c r="D162" s="4" t="s">
        <v>12</v>
      </c>
      <c r="E162" s="4">
        <v>1622.62</v>
      </c>
      <c r="F162" s="4">
        <v>12</v>
      </c>
      <c r="G162" s="4">
        <v>0.2</v>
      </c>
      <c r="H162" s="5">
        <v>45677</v>
      </c>
      <c r="I162" s="4">
        <v>649.04999999999995</v>
      </c>
      <c r="J162" s="4" t="str" cm="1">
        <f t="array" ref="J162">IFERROR(INDEX(B:B,MATCH(IF(E162&gt;1500,E162,"false"),E:E,0),0),"is not high value customer")</f>
        <v>Linda Taylor</v>
      </c>
      <c r="L162" s="17">
        <v>0.54513888888888884</v>
      </c>
      <c r="Q162">
        <f t="shared" si="8"/>
        <v>646.53120000000024</v>
      </c>
      <c r="R162">
        <f t="shared" si="9"/>
        <v>307.61494999999991</v>
      </c>
      <c r="S162">
        <f t="shared" si="10"/>
        <v>198882.66276144001</v>
      </c>
      <c r="U162">
        <f t="shared" si="11"/>
        <v>418002.59257344028</v>
      </c>
    </row>
    <row r="163" spans="1:21" ht="15.75" customHeight="1" x14ac:dyDescent="0.25">
      <c r="A163" s="4" t="s">
        <v>92</v>
      </c>
      <c r="B163" s="4" t="s">
        <v>65</v>
      </c>
      <c r="C163" s="4" t="s">
        <v>7</v>
      </c>
      <c r="D163" s="4" t="s">
        <v>11</v>
      </c>
      <c r="E163" s="4">
        <v>640.64</v>
      </c>
      <c r="F163" s="4">
        <v>11</v>
      </c>
      <c r="G163" s="4">
        <v>0.2</v>
      </c>
      <c r="H163" s="5">
        <v>45678</v>
      </c>
      <c r="I163" s="4">
        <v>205</v>
      </c>
      <c r="J163" s="4" t="str" cm="1">
        <f t="array" ref="J163">IFERROR(INDEX(B:B,MATCH(IF(E163&gt;1500,E163,"false"),E:E,0),0),"is not high value customer")</f>
        <v>is not high value customer</v>
      </c>
      <c r="L163" s="17">
        <v>0.54513888888888884</v>
      </c>
      <c r="Q163">
        <f t="shared" si="8"/>
        <v>-335.44879999999966</v>
      </c>
      <c r="R163">
        <f t="shared" si="9"/>
        <v>-136.43505000000005</v>
      </c>
      <c r="S163">
        <f t="shared" si="10"/>
        <v>45766.97380043997</v>
      </c>
      <c r="U163">
        <f t="shared" si="11"/>
        <v>112525.89742143977</v>
      </c>
    </row>
    <row r="164" spans="1:21" ht="15.75" customHeight="1" x14ac:dyDescent="0.25">
      <c r="A164" s="4" t="s">
        <v>43</v>
      </c>
      <c r="B164" s="4" t="s">
        <v>60</v>
      </c>
      <c r="C164" s="4" t="s">
        <v>9</v>
      </c>
      <c r="D164" s="4" t="s">
        <v>12</v>
      </c>
      <c r="E164" s="4">
        <v>585.16</v>
      </c>
      <c r="F164" s="4">
        <v>17</v>
      </c>
      <c r="G164" s="4">
        <v>0.1</v>
      </c>
      <c r="H164" s="5">
        <v>45684</v>
      </c>
      <c r="I164" s="4">
        <v>263.32</v>
      </c>
      <c r="J164" s="4" t="str" cm="1">
        <f t="array" ref="J164">IFERROR(INDEX(B:B,MATCH(IF(E164&gt;1500,E164,"false"),E:E,0),0),"is not high value customer")</f>
        <v>is not high value customer</v>
      </c>
      <c r="L164" s="17">
        <v>0.54513888888888884</v>
      </c>
      <c r="Q164">
        <f t="shared" si="8"/>
        <v>-390.92879999999968</v>
      </c>
      <c r="R164">
        <f t="shared" si="9"/>
        <v>-78.115050000000053</v>
      </c>
      <c r="S164">
        <f t="shared" si="10"/>
        <v>30537.422758439996</v>
      </c>
      <c r="U164">
        <f t="shared" si="11"/>
        <v>152825.32666943976</v>
      </c>
    </row>
    <row r="165" spans="1:21" ht="15.75" customHeight="1" x14ac:dyDescent="0.25">
      <c r="A165" s="4" t="s">
        <v>43</v>
      </c>
      <c r="B165" s="4" t="s">
        <v>50</v>
      </c>
      <c r="C165" s="4" t="s">
        <v>6</v>
      </c>
      <c r="D165" s="4" t="s">
        <v>12</v>
      </c>
      <c r="E165" s="4">
        <v>1109.98</v>
      </c>
      <c r="F165" s="4">
        <v>5</v>
      </c>
      <c r="G165" s="4">
        <v>0.2</v>
      </c>
      <c r="H165" s="5">
        <v>45690</v>
      </c>
      <c r="I165" s="4">
        <v>443.99</v>
      </c>
      <c r="J165" s="4" t="str" cm="1">
        <f t="array" ref="J165">IFERROR(INDEX(B:B,MATCH(IF(E165&gt;1500,E165,"false"),E:E,0),0),"is not high value customer")</f>
        <v>is not high value customer</v>
      </c>
      <c r="L165" s="17">
        <v>0.54513888888888884</v>
      </c>
      <c r="Q165">
        <f t="shared" si="8"/>
        <v>133.89120000000037</v>
      </c>
      <c r="R165">
        <f t="shared" si="9"/>
        <v>102.55494999999996</v>
      </c>
      <c r="S165">
        <f t="shared" si="10"/>
        <v>13731.205321440033</v>
      </c>
      <c r="U165">
        <f t="shared" si="11"/>
        <v>17926.853437440099</v>
      </c>
    </row>
    <row r="166" spans="1:21" ht="15.75" customHeight="1" x14ac:dyDescent="0.25">
      <c r="A166" s="4" t="s">
        <v>75</v>
      </c>
      <c r="B166" s="4" t="s">
        <v>62</v>
      </c>
      <c r="C166" s="4" t="s">
        <v>6</v>
      </c>
      <c r="D166" s="4" t="s">
        <v>11</v>
      </c>
      <c r="E166" s="4">
        <v>1098.08</v>
      </c>
      <c r="F166" s="4">
        <v>9</v>
      </c>
      <c r="G166" s="4">
        <v>0.1</v>
      </c>
      <c r="H166" s="5">
        <v>45692</v>
      </c>
      <c r="I166" s="4">
        <v>395.31</v>
      </c>
      <c r="J166" s="4" t="str" cm="1">
        <f t="array" ref="J166">IFERROR(INDEX(B:B,MATCH(IF(E166&gt;1500,E166,"false"),E:E,0),0),"is not high value customer")</f>
        <v>is not high value customer</v>
      </c>
      <c r="L166" s="17">
        <v>0.54513888888888884</v>
      </c>
      <c r="Q166">
        <f t="shared" si="8"/>
        <v>121.99120000000028</v>
      </c>
      <c r="R166">
        <f t="shared" si="9"/>
        <v>53.874949999999956</v>
      </c>
      <c r="S166">
        <f t="shared" si="10"/>
        <v>6572.2698004400099</v>
      </c>
      <c r="U166">
        <f t="shared" si="11"/>
        <v>14881.852877440067</v>
      </c>
    </row>
    <row r="167" spans="1:21" ht="15.75" customHeight="1" x14ac:dyDescent="0.25">
      <c r="A167" s="4" t="s">
        <v>82</v>
      </c>
      <c r="B167" s="4" t="s">
        <v>65</v>
      </c>
      <c r="C167" s="4" t="s">
        <v>9</v>
      </c>
      <c r="D167" s="4" t="s">
        <v>15</v>
      </c>
      <c r="E167" s="4">
        <v>827.25</v>
      </c>
      <c r="F167" s="4">
        <v>7</v>
      </c>
      <c r="G167" s="4">
        <v>0.1</v>
      </c>
      <c r="H167" s="5">
        <v>45693</v>
      </c>
      <c r="I167" s="4">
        <v>335.04</v>
      </c>
      <c r="J167" s="4" t="str" cm="1">
        <f t="array" ref="J167">IFERROR(INDEX(B:B,MATCH(IF(E167&gt;1500,E167,"false"),E:E,0),0),"is not high value customer")</f>
        <v>is not high value customer</v>
      </c>
      <c r="L167" s="17">
        <v>0.54513888888888884</v>
      </c>
      <c r="Q167">
        <f t="shared" si="8"/>
        <v>-148.83879999999965</v>
      </c>
      <c r="R167">
        <f t="shared" si="9"/>
        <v>-6.3950500000000261</v>
      </c>
      <c r="S167">
        <f t="shared" si="10"/>
        <v>951.83156794000161</v>
      </c>
      <c r="U167">
        <f t="shared" si="11"/>
        <v>22152.988385439898</v>
      </c>
    </row>
    <row r="168" spans="1:21" ht="15.75" customHeight="1" x14ac:dyDescent="0.25">
      <c r="A168" s="4" t="s">
        <v>87</v>
      </c>
      <c r="B168" s="4" t="s">
        <v>48</v>
      </c>
      <c r="C168" s="4" t="s">
        <v>5</v>
      </c>
      <c r="D168" s="4" t="s">
        <v>12</v>
      </c>
      <c r="E168" s="4">
        <v>741.88</v>
      </c>
      <c r="F168" s="4">
        <v>16</v>
      </c>
      <c r="G168" s="4">
        <v>0.1</v>
      </c>
      <c r="H168" s="5">
        <v>45695</v>
      </c>
      <c r="I168" s="4">
        <v>333.85</v>
      </c>
      <c r="J168" s="4" t="str" cm="1">
        <f t="array" ref="J168">IFERROR(INDEX(B:B,MATCH(IF(E168&gt;1500,E168,"false"),E:E,0),0),"is not high value customer")</f>
        <v>is not high value customer</v>
      </c>
      <c r="L168" s="17">
        <v>0.54513888888888884</v>
      </c>
      <c r="Q168">
        <f t="shared" si="8"/>
        <v>-234.20879999999966</v>
      </c>
      <c r="R168">
        <f t="shared" si="9"/>
        <v>-7.5850500000000238</v>
      </c>
      <c r="S168">
        <f t="shared" si="10"/>
        <v>1776.485458440003</v>
      </c>
      <c r="U168">
        <f t="shared" si="11"/>
        <v>54853.76199743984</v>
      </c>
    </row>
    <row r="169" spans="1:21" ht="15.75" customHeight="1" x14ac:dyDescent="0.25">
      <c r="A169" s="4" t="s">
        <v>89</v>
      </c>
      <c r="B169" s="4" t="s">
        <v>37</v>
      </c>
      <c r="C169" s="4" t="s">
        <v>6</v>
      </c>
      <c r="D169" s="4" t="s">
        <v>15</v>
      </c>
      <c r="E169" s="4">
        <v>1311.26</v>
      </c>
      <c r="F169" s="4">
        <v>6</v>
      </c>
      <c r="G169" s="4">
        <v>0.1</v>
      </c>
      <c r="H169" s="5">
        <v>45698</v>
      </c>
      <c r="I169" s="4">
        <v>531.05999999999995</v>
      </c>
      <c r="J169" s="4" t="str" cm="1">
        <f t="array" ref="J169">IFERROR(INDEX(B:B,MATCH(IF(E169&gt;1500,E169,"false"),E:E,0),0),"is not high value customer")</f>
        <v>is not high value customer</v>
      </c>
      <c r="L169" s="17">
        <v>0.54513888888888884</v>
      </c>
      <c r="Q169">
        <f t="shared" si="8"/>
        <v>335.17120000000034</v>
      </c>
      <c r="R169">
        <f t="shared" si="9"/>
        <v>189.6249499999999</v>
      </c>
      <c r="S169">
        <f t="shared" si="10"/>
        <v>63556.822041440028</v>
      </c>
      <c r="U169">
        <f t="shared" si="11"/>
        <v>112339.73330944023</v>
      </c>
    </row>
    <row r="170" spans="1:21" ht="15.75" customHeight="1" x14ac:dyDescent="0.25">
      <c r="A170" s="4" t="s">
        <v>89</v>
      </c>
      <c r="B170" s="4" t="s">
        <v>50</v>
      </c>
      <c r="C170" s="4" t="s">
        <v>8</v>
      </c>
      <c r="D170" s="4" t="s">
        <v>15</v>
      </c>
      <c r="E170" s="4">
        <v>573.32000000000005</v>
      </c>
      <c r="F170" s="4">
        <v>19</v>
      </c>
      <c r="G170" s="4">
        <v>0.1</v>
      </c>
      <c r="H170" s="5">
        <v>45703</v>
      </c>
      <c r="I170" s="4">
        <v>232.19</v>
      </c>
      <c r="J170" s="4" t="str" cm="1">
        <f t="array" ref="J170">IFERROR(INDEX(B:B,MATCH(IF(E170&gt;1500,E170,"false"),E:E,0),0),"is not high value customer")</f>
        <v>is not high value customer</v>
      </c>
      <c r="L170" s="17">
        <v>0.54513888888888884</v>
      </c>
      <c r="Q170">
        <f t="shared" si="8"/>
        <v>-402.7687999999996</v>
      </c>
      <c r="R170">
        <f t="shared" si="9"/>
        <v>-109.24505000000005</v>
      </c>
      <c r="S170">
        <f t="shared" si="10"/>
        <v>44000.497694439975</v>
      </c>
      <c r="U170">
        <f t="shared" si="11"/>
        <v>162222.70625343968</v>
      </c>
    </row>
    <row r="171" spans="1:21" ht="15.75" customHeight="1" x14ac:dyDescent="0.25">
      <c r="A171" s="4" t="s">
        <v>69</v>
      </c>
      <c r="B171" s="4" t="s">
        <v>44</v>
      </c>
      <c r="C171" s="4" t="s">
        <v>9</v>
      </c>
      <c r="D171" s="4" t="s">
        <v>13</v>
      </c>
      <c r="E171" s="4">
        <v>1115.22</v>
      </c>
      <c r="F171" s="4">
        <v>14</v>
      </c>
      <c r="G171" s="4">
        <v>0.2</v>
      </c>
      <c r="H171" s="5">
        <v>45705</v>
      </c>
      <c r="I171" s="4">
        <v>223.04</v>
      </c>
      <c r="J171" s="4" t="str" cm="1">
        <f t="array" ref="J171">IFERROR(INDEX(B:B,MATCH(IF(E171&gt;1500,E171,"false"),E:E,0),0),"is not high value customer")</f>
        <v>is not high value customer</v>
      </c>
      <c r="L171" s="17">
        <v>0.54513888888888884</v>
      </c>
      <c r="Q171">
        <f t="shared" si="8"/>
        <v>139.13120000000038</v>
      </c>
      <c r="R171">
        <f t="shared" si="9"/>
        <v>-118.39505000000005</v>
      </c>
      <c r="S171">
        <f t="shared" si="10"/>
        <v>-16472.445380560053</v>
      </c>
      <c r="U171">
        <f t="shared" si="11"/>
        <v>19357.490813440105</v>
      </c>
    </row>
    <row r="172" spans="1:21" ht="15.75" customHeight="1" x14ac:dyDescent="0.25">
      <c r="A172" s="4" t="s">
        <v>38</v>
      </c>
      <c r="B172" s="4" t="s">
        <v>62</v>
      </c>
      <c r="C172" s="4" t="s">
        <v>7</v>
      </c>
      <c r="D172" s="4" t="s">
        <v>12</v>
      </c>
      <c r="E172" s="4">
        <v>845.84</v>
      </c>
      <c r="F172" s="4">
        <v>4</v>
      </c>
      <c r="G172" s="4">
        <v>0</v>
      </c>
      <c r="H172" s="5">
        <v>45707</v>
      </c>
      <c r="I172" s="4">
        <v>422.92</v>
      </c>
      <c r="J172" s="4" t="str" cm="1">
        <f t="array" ref="J172">IFERROR(INDEX(B:B,MATCH(IF(E172&gt;1500,E172,"false"),E:E,0),0),"is not high value customer")</f>
        <v>is not high value customer</v>
      </c>
      <c r="L172" s="17">
        <v>0.54513888888888884</v>
      </c>
      <c r="Q172">
        <f t="shared" si="8"/>
        <v>-130.24879999999962</v>
      </c>
      <c r="R172">
        <f t="shared" si="9"/>
        <v>81.484949999999969</v>
      </c>
      <c r="S172">
        <f t="shared" si="10"/>
        <v>-10613.316955559965</v>
      </c>
      <c r="U172">
        <f t="shared" si="11"/>
        <v>16964.7499014399</v>
      </c>
    </row>
    <row r="173" spans="1:21" ht="15.75" customHeight="1" x14ac:dyDescent="0.25">
      <c r="A173" s="4" t="s">
        <v>49</v>
      </c>
      <c r="B173" s="4" t="s">
        <v>72</v>
      </c>
      <c r="C173" s="4" t="s">
        <v>9</v>
      </c>
      <c r="D173" s="4" t="s">
        <v>13</v>
      </c>
      <c r="E173" s="4">
        <v>1029.8</v>
      </c>
      <c r="F173" s="4">
        <v>3</v>
      </c>
      <c r="G173" s="4">
        <v>0</v>
      </c>
      <c r="H173" s="5">
        <v>45708</v>
      </c>
      <c r="I173" s="4">
        <v>257.45</v>
      </c>
      <c r="J173" s="4" t="str" cm="1">
        <f t="array" ref="J173">IFERROR(INDEX(B:B,MATCH(IF(E173&gt;1500,E173,"false"),E:E,0),0),"is not high value customer")</f>
        <v>is not high value customer</v>
      </c>
      <c r="L173" s="17">
        <v>0.54513888888888884</v>
      </c>
      <c r="Q173">
        <f t="shared" si="8"/>
        <v>53.711200000000304</v>
      </c>
      <c r="R173">
        <f t="shared" si="9"/>
        <v>-83.985050000000058</v>
      </c>
      <c r="S173">
        <f t="shared" si="10"/>
        <v>-4510.9378175600286</v>
      </c>
      <c r="U173">
        <f t="shared" si="11"/>
        <v>2884.8930054400325</v>
      </c>
    </row>
    <row r="174" spans="1:21" ht="15.75" customHeight="1" x14ac:dyDescent="0.25">
      <c r="A174" s="4" t="s">
        <v>51</v>
      </c>
      <c r="B174" s="4" t="s">
        <v>50</v>
      </c>
      <c r="C174" s="4" t="s">
        <v>7</v>
      </c>
      <c r="D174" s="4" t="s">
        <v>11</v>
      </c>
      <c r="E174" s="4">
        <v>1189.83</v>
      </c>
      <c r="F174" s="4">
        <v>2</v>
      </c>
      <c r="G174" s="4">
        <v>0.2</v>
      </c>
      <c r="H174" s="5">
        <v>45709</v>
      </c>
      <c r="I174" s="4">
        <v>380.75</v>
      </c>
      <c r="J174" s="4" t="str" cm="1">
        <f t="array" ref="J174">IFERROR(INDEX(B:B,MATCH(IF(E174&gt;1500,E174,"false"),E:E,0),0),"is not high value customer")</f>
        <v>is not high value customer</v>
      </c>
      <c r="L174" s="17">
        <v>0.54513888888888884</v>
      </c>
      <c r="Q174">
        <f t="shared" si="8"/>
        <v>213.74120000000028</v>
      </c>
      <c r="R174">
        <f t="shared" si="9"/>
        <v>39.314949999999953</v>
      </c>
      <c r="S174">
        <f t="shared" si="10"/>
        <v>8403.2245909400008</v>
      </c>
      <c r="U174">
        <f t="shared" si="11"/>
        <v>45685.300577440117</v>
      </c>
    </row>
    <row r="175" spans="1:21" ht="15.75" customHeight="1" x14ac:dyDescent="0.25">
      <c r="A175" s="4" t="s">
        <v>84</v>
      </c>
      <c r="B175" s="4" t="s">
        <v>60</v>
      </c>
      <c r="C175" s="4" t="s">
        <v>8</v>
      </c>
      <c r="D175" s="4" t="s">
        <v>11</v>
      </c>
      <c r="E175" s="4">
        <v>704.28</v>
      </c>
      <c r="F175" s="4">
        <v>15</v>
      </c>
      <c r="G175" s="4">
        <v>0.2</v>
      </c>
      <c r="H175" s="5">
        <v>45712</v>
      </c>
      <c r="I175" s="4">
        <v>225.37</v>
      </c>
      <c r="J175" s="4" t="str" cm="1">
        <f t="array" ref="J175">IFERROR(INDEX(B:B,MATCH(IF(E175&gt;1500,E175,"false"),E:E,0),0),"is not high value customer")</f>
        <v>is not high value customer</v>
      </c>
      <c r="L175" s="17">
        <v>0.54513888888888884</v>
      </c>
      <c r="Q175">
        <f t="shared" si="8"/>
        <v>-271.80879999999968</v>
      </c>
      <c r="R175">
        <f t="shared" si="9"/>
        <v>-116.06505000000004</v>
      </c>
      <c r="S175">
        <f t="shared" si="10"/>
        <v>31547.501962439976</v>
      </c>
      <c r="U175">
        <f t="shared" si="11"/>
        <v>73880.02375743982</v>
      </c>
    </row>
    <row r="176" spans="1:21" ht="15.75" customHeight="1" x14ac:dyDescent="0.25">
      <c r="A176" s="4" t="s">
        <v>82</v>
      </c>
      <c r="B176" s="4" t="s">
        <v>64</v>
      </c>
      <c r="C176" s="4" t="s">
        <v>5</v>
      </c>
      <c r="D176" s="4" t="s">
        <v>15</v>
      </c>
      <c r="E176" s="4">
        <v>1618.22</v>
      </c>
      <c r="F176" s="4">
        <v>12</v>
      </c>
      <c r="G176" s="4">
        <v>0.2</v>
      </c>
      <c r="H176" s="5">
        <v>45712</v>
      </c>
      <c r="I176" s="4">
        <v>582.55999999999995</v>
      </c>
      <c r="J176" s="4" t="str" cm="1">
        <f t="array" ref="J176">IFERROR(INDEX(B:B,MATCH(IF(E176&gt;1500,E176,"false"),E:E,0),0),"is not high value customer")</f>
        <v>Mary Jackson</v>
      </c>
      <c r="L176" s="17">
        <v>0.54513888888888884</v>
      </c>
      <c r="Q176">
        <f t="shared" si="8"/>
        <v>642.13120000000038</v>
      </c>
      <c r="R176">
        <f t="shared" si="9"/>
        <v>241.1249499999999</v>
      </c>
      <c r="S176">
        <f t="shared" si="10"/>
        <v>154833.85349344002</v>
      </c>
      <c r="U176">
        <f t="shared" si="11"/>
        <v>412332.4780134405</v>
      </c>
    </row>
    <row r="177" spans="1:21" ht="15.75" customHeight="1" x14ac:dyDescent="0.25">
      <c r="A177" s="4" t="s">
        <v>90</v>
      </c>
      <c r="B177" s="4" t="s">
        <v>70</v>
      </c>
      <c r="C177" s="4" t="s">
        <v>5</v>
      </c>
      <c r="D177" s="4" t="s">
        <v>11</v>
      </c>
      <c r="E177" s="4">
        <v>1014.43</v>
      </c>
      <c r="F177" s="4">
        <v>2</v>
      </c>
      <c r="G177" s="4">
        <v>0.15</v>
      </c>
      <c r="H177" s="5">
        <v>45713</v>
      </c>
      <c r="I177" s="4">
        <v>344.91</v>
      </c>
      <c r="J177" s="4" t="str" cm="1">
        <f t="array" ref="J177">IFERROR(INDEX(B:B,MATCH(IF(E177&gt;1500,E177,"false"),E:E,0),0),"is not high value customer")</f>
        <v>is not high value customer</v>
      </c>
      <c r="L177" s="17">
        <v>0.54513888888888884</v>
      </c>
      <c r="Q177">
        <f t="shared" si="8"/>
        <v>38.341200000000299</v>
      </c>
      <c r="R177">
        <f t="shared" si="9"/>
        <v>3.4749499999999784</v>
      </c>
      <c r="S177">
        <f t="shared" si="10"/>
        <v>133.23375294000022</v>
      </c>
      <c r="U177">
        <f t="shared" si="11"/>
        <v>1470.047617440023</v>
      </c>
    </row>
    <row r="178" spans="1:21" ht="15.75" customHeight="1" x14ac:dyDescent="0.25">
      <c r="A178" s="4" t="s">
        <v>92</v>
      </c>
      <c r="B178" s="4" t="s">
        <v>50</v>
      </c>
      <c r="C178" s="4" t="s">
        <v>5</v>
      </c>
      <c r="D178" s="4" t="s">
        <v>12</v>
      </c>
      <c r="E178" s="4">
        <v>826.97</v>
      </c>
      <c r="F178" s="4">
        <v>18</v>
      </c>
      <c r="G178" s="4">
        <v>0.2</v>
      </c>
      <c r="H178" s="5">
        <v>45715</v>
      </c>
      <c r="I178" s="4">
        <v>330.79</v>
      </c>
      <c r="J178" s="4" t="str" cm="1">
        <f t="array" ref="J178">IFERROR(INDEX(B:B,MATCH(IF(E178&gt;1500,E178,"false"),E:E,0),0),"is not high value customer")</f>
        <v>is not high value customer</v>
      </c>
      <c r="L178" s="17">
        <v>0.54513888888888884</v>
      </c>
      <c r="Q178">
        <f t="shared" si="8"/>
        <v>-149.11879999999962</v>
      </c>
      <c r="R178">
        <f t="shared" si="9"/>
        <v>-10.645050000000026</v>
      </c>
      <c r="S178">
        <f t="shared" si="10"/>
        <v>1587.3770819399999</v>
      </c>
      <c r="U178">
        <f t="shared" si="11"/>
        <v>22236.416513439886</v>
      </c>
    </row>
    <row r="179" spans="1:21" ht="15.75" customHeight="1" x14ac:dyDescent="0.25">
      <c r="A179" s="4" t="s">
        <v>40</v>
      </c>
      <c r="B179" s="4" t="s">
        <v>50</v>
      </c>
      <c r="C179" s="4" t="s">
        <v>5</v>
      </c>
      <c r="D179" s="4" t="s">
        <v>12</v>
      </c>
      <c r="E179" s="4">
        <v>1022.23</v>
      </c>
      <c r="F179" s="4">
        <v>8</v>
      </c>
      <c r="G179" s="4">
        <v>0.1</v>
      </c>
      <c r="H179" s="5">
        <v>45717</v>
      </c>
      <c r="I179" s="4">
        <v>460</v>
      </c>
      <c r="J179" s="4" t="str" cm="1">
        <f t="array" ref="J179">IFERROR(INDEX(B:B,MATCH(IF(E179&gt;1500,E179,"false"),E:E,0),0),"is not high value customer")</f>
        <v>is not high value customer</v>
      </c>
      <c r="L179" s="17">
        <v>0.54513888888888884</v>
      </c>
      <c r="Q179">
        <f t="shared" si="8"/>
        <v>46.141200000000367</v>
      </c>
      <c r="R179">
        <f t="shared" si="9"/>
        <v>118.56494999999995</v>
      </c>
      <c r="S179">
        <f t="shared" si="10"/>
        <v>5470.7290709400413</v>
      </c>
      <c r="U179">
        <f t="shared" si="11"/>
        <v>2129.0103374400337</v>
      </c>
    </row>
    <row r="180" spans="1:21" ht="15.75" customHeight="1" x14ac:dyDescent="0.25">
      <c r="A180" s="4" t="s">
        <v>89</v>
      </c>
      <c r="B180" s="4" t="s">
        <v>48</v>
      </c>
      <c r="C180" s="4" t="s">
        <v>6</v>
      </c>
      <c r="D180" s="4" t="s">
        <v>11</v>
      </c>
      <c r="E180" s="4">
        <v>1099.69</v>
      </c>
      <c r="F180" s="4">
        <v>6</v>
      </c>
      <c r="G180" s="4">
        <v>0</v>
      </c>
      <c r="H180" s="5">
        <v>45718</v>
      </c>
      <c r="I180" s="4">
        <v>439.88</v>
      </c>
      <c r="J180" s="4" t="str" cm="1">
        <f t="array" ref="J180">IFERROR(INDEX(B:B,MATCH(IF(E180&gt;1500,E180,"false"),E:E,0),0),"is not high value customer")</f>
        <v>is not high value customer</v>
      </c>
      <c r="L180" s="17">
        <v>0.54513888888888884</v>
      </c>
      <c r="Q180">
        <f t="shared" si="8"/>
        <v>123.6012000000004</v>
      </c>
      <c r="R180">
        <f t="shared" si="9"/>
        <v>98.444949999999949</v>
      </c>
      <c r="S180">
        <f t="shared" si="10"/>
        <v>12167.913953940033</v>
      </c>
      <c r="U180">
        <f t="shared" si="11"/>
        <v>15277.256641440099</v>
      </c>
    </row>
    <row r="181" spans="1:21" ht="15.75" customHeight="1" x14ac:dyDescent="0.25">
      <c r="A181" s="4" t="s">
        <v>69</v>
      </c>
      <c r="B181" s="4" t="s">
        <v>81</v>
      </c>
      <c r="C181" s="4" t="s">
        <v>7</v>
      </c>
      <c r="D181" s="4" t="s">
        <v>11</v>
      </c>
      <c r="E181" s="4">
        <v>710.52</v>
      </c>
      <c r="F181" s="4">
        <v>8</v>
      </c>
      <c r="G181" s="4">
        <v>0.1</v>
      </c>
      <c r="H181" s="5">
        <v>45721</v>
      </c>
      <c r="I181" s="4">
        <v>255.79</v>
      </c>
      <c r="J181" s="4" t="str" cm="1">
        <f t="array" ref="J181">IFERROR(INDEX(B:B,MATCH(IF(E181&gt;1500,E181,"false"),E:E,0),0),"is not high value customer")</f>
        <v>is not high value customer</v>
      </c>
      <c r="L181" s="17">
        <v>0.54513888888888884</v>
      </c>
      <c r="Q181">
        <f t="shared" si="8"/>
        <v>-265.56879999999967</v>
      </c>
      <c r="R181">
        <f t="shared" si="9"/>
        <v>-85.645050000000055</v>
      </c>
      <c r="S181">
        <f t="shared" si="10"/>
        <v>22744.653154439988</v>
      </c>
      <c r="U181">
        <f t="shared" si="11"/>
        <v>70526.787533439827</v>
      </c>
    </row>
    <row r="182" spans="1:21" ht="15.75" customHeight="1" x14ac:dyDescent="0.25">
      <c r="A182" s="4" t="s">
        <v>69</v>
      </c>
      <c r="B182" s="4" t="s">
        <v>76</v>
      </c>
      <c r="C182" s="4" t="s">
        <v>7</v>
      </c>
      <c r="D182" s="4" t="s">
        <v>11</v>
      </c>
      <c r="E182" s="4">
        <v>499.18</v>
      </c>
      <c r="F182" s="4">
        <v>15</v>
      </c>
      <c r="G182" s="4">
        <v>0.2</v>
      </c>
      <c r="H182" s="5">
        <v>45724</v>
      </c>
      <c r="I182" s="4">
        <v>159.74</v>
      </c>
      <c r="J182" s="4" t="str" cm="1">
        <f t="array" ref="J182">IFERROR(INDEX(B:B,MATCH(IF(E182&gt;1500,E182,"false"),E:E,0),0),"is not high value customer")</f>
        <v>is not high value customer</v>
      </c>
      <c r="L182" s="17">
        <v>0.54513888888888884</v>
      </c>
      <c r="Q182">
        <f t="shared" si="8"/>
        <v>-476.90879999999964</v>
      </c>
      <c r="R182">
        <f t="shared" si="9"/>
        <v>-181.69505000000004</v>
      </c>
      <c r="S182">
        <f t="shared" si="10"/>
        <v>86651.96826143995</v>
      </c>
      <c r="U182">
        <f t="shared" si="11"/>
        <v>227442.00351743965</v>
      </c>
    </row>
    <row r="183" spans="1:21" ht="15.75" customHeight="1" x14ac:dyDescent="0.25">
      <c r="A183" s="4" t="s">
        <v>55</v>
      </c>
      <c r="B183" s="4" t="s">
        <v>56</v>
      </c>
      <c r="C183" s="4" t="s">
        <v>8</v>
      </c>
      <c r="D183" s="4" t="s">
        <v>11</v>
      </c>
      <c r="E183" s="4">
        <v>1064.19</v>
      </c>
      <c r="F183" s="4">
        <v>18</v>
      </c>
      <c r="G183" s="4">
        <v>0.05</v>
      </c>
      <c r="H183" s="5">
        <v>45725</v>
      </c>
      <c r="I183" s="4">
        <v>404.39</v>
      </c>
      <c r="J183" s="4" t="str" cm="1">
        <f t="array" ref="J183">IFERROR(INDEX(B:B,MATCH(IF(E183&gt;1500,E183,"false"),E:E,0),0),"is not high value customer")</f>
        <v>is not high value customer</v>
      </c>
      <c r="L183" s="17">
        <v>0.54513888888888884</v>
      </c>
      <c r="Q183">
        <f t="shared" si="8"/>
        <v>88.101200000000404</v>
      </c>
      <c r="R183">
        <f t="shared" si="9"/>
        <v>62.95494999999994</v>
      </c>
      <c r="S183">
        <f t="shared" si="10"/>
        <v>5546.4066409400202</v>
      </c>
      <c r="U183">
        <f t="shared" si="11"/>
        <v>7761.8214414400709</v>
      </c>
    </row>
    <row r="184" spans="1:21" ht="15.75" customHeight="1" x14ac:dyDescent="0.25">
      <c r="A184" s="4" t="s">
        <v>84</v>
      </c>
      <c r="B184" s="4" t="s">
        <v>56</v>
      </c>
      <c r="C184" s="4" t="s">
        <v>6</v>
      </c>
      <c r="D184" s="4" t="s">
        <v>15</v>
      </c>
      <c r="E184" s="4">
        <v>438.76</v>
      </c>
      <c r="F184" s="4">
        <v>18</v>
      </c>
      <c r="G184" s="4">
        <v>0.05</v>
      </c>
      <c r="H184" s="5">
        <v>45726</v>
      </c>
      <c r="I184" s="4">
        <v>187.57</v>
      </c>
      <c r="J184" s="4" t="str" cm="1">
        <f t="array" ref="J184">IFERROR(INDEX(B:B,MATCH(IF(E184&gt;1500,E184,"false"),E:E,0),0),"is not high value customer")</f>
        <v>is not high value customer</v>
      </c>
      <c r="L184" s="17">
        <v>0.54513888888888884</v>
      </c>
      <c r="Q184">
        <f t="shared" si="8"/>
        <v>-537.32879999999966</v>
      </c>
      <c r="R184">
        <f t="shared" si="9"/>
        <v>-153.86505000000005</v>
      </c>
      <c r="S184">
        <f t="shared" si="10"/>
        <v>82676.122678439977</v>
      </c>
      <c r="U184">
        <f t="shared" si="11"/>
        <v>288722.23930943961</v>
      </c>
    </row>
    <row r="185" spans="1:21" ht="15.75" customHeight="1" x14ac:dyDescent="0.25">
      <c r="A185" s="4" t="s">
        <v>58</v>
      </c>
      <c r="B185" s="4" t="s">
        <v>72</v>
      </c>
      <c r="C185" s="4" t="s">
        <v>9</v>
      </c>
      <c r="D185" s="4" t="s">
        <v>12</v>
      </c>
      <c r="E185" s="4">
        <v>864.98</v>
      </c>
      <c r="F185" s="4">
        <v>2</v>
      </c>
      <c r="G185" s="4">
        <v>0.05</v>
      </c>
      <c r="H185" s="5">
        <v>45727</v>
      </c>
      <c r="I185" s="4">
        <v>410.87</v>
      </c>
      <c r="J185" s="4" t="str" cm="1">
        <f t="array" ref="J185">IFERROR(INDEX(B:B,MATCH(IF(E185&gt;1500,E185,"false"),E:E,0),0),"is not high value customer")</f>
        <v>is not high value customer</v>
      </c>
      <c r="L185" s="17">
        <v>0.54513888888888884</v>
      </c>
      <c r="Q185">
        <f t="shared" si="8"/>
        <v>-111.10879999999963</v>
      </c>
      <c r="R185">
        <f t="shared" si="9"/>
        <v>69.434949999999958</v>
      </c>
      <c r="S185">
        <f t="shared" si="10"/>
        <v>-7714.8339725599699</v>
      </c>
      <c r="U185">
        <f t="shared" si="11"/>
        <v>12345.165437439919</v>
      </c>
    </row>
    <row r="186" spans="1:21" ht="15.75" customHeight="1" x14ac:dyDescent="0.25">
      <c r="A186" s="4" t="s">
        <v>74</v>
      </c>
      <c r="B186" s="4" t="s">
        <v>72</v>
      </c>
      <c r="C186" s="4" t="s">
        <v>9</v>
      </c>
      <c r="D186" s="4" t="s">
        <v>14</v>
      </c>
      <c r="E186" s="4">
        <v>984.93</v>
      </c>
      <c r="F186" s="4">
        <v>14</v>
      </c>
      <c r="G186" s="4">
        <v>0.2</v>
      </c>
      <c r="H186" s="5">
        <v>45733</v>
      </c>
      <c r="I186" s="4">
        <v>275.77999999999997</v>
      </c>
      <c r="J186" s="4" t="str" cm="1">
        <f t="array" ref="J186">IFERROR(INDEX(B:B,MATCH(IF(E186&gt;1500,E186,"false"),E:E,0),0),"is not high value customer")</f>
        <v>is not high value customer</v>
      </c>
      <c r="L186" s="17">
        <v>0.54513888888888884</v>
      </c>
      <c r="Q186">
        <f t="shared" si="8"/>
        <v>8.841200000000299</v>
      </c>
      <c r="R186">
        <f t="shared" si="9"/>
        <v>-65.655050000000074</v>
      </c>
      <c r="S186">
        <f t="shared" si="10"/>
        <v>-580.46942806002028</v>
      </c>
      <c r="U186">
        <f t="shared" si="11"/>
        <v>78.166817440005289</v>
      </c>
    </row>
    <row r="187" spans="1:21" ht="15.75" customHeight="1" x14ac:dyDescent="0.25">
      <c r="A187" s="4" t="s">
        <v>45</v>
      </c>
      <c r="B187" s="4" t="s">
        <v>72</v>
      </c>
      <c r="C187" s="4" t="s">
        <v>9</v>
      </c>
      <c r="D187" s="4" t="s">
        <v>12</v>
      </c>
      <c r="E187" s="4">
        <v>1493.49</v>
      </c>
      <c r="F187" s="4">
        <v>18</v>
      </c>
      <c r="G187" s="4">
        <v>0</v>
      </c>
      <c r="H187" s="5">
        <v>45734</v>
      </c>
      <c r="I187" s="4">
        <v>746.74</v>
      </c>
      <c r="J187" s="4" t="str" cm="1">
        <f t="array" ref="J187">IFERROR(INDEX(B:B,MATCH(IF(E187&gt;1500,E187,"false"),E:E,0),0),"is not high value customer")</f>
        <v>is not high value customer</v>
      </c>
      <c r="L187" s="17">
        <v>0.54513888888888884</v>
      </c>
      <c r="Q187">
        <f t="shared" si="8"/>
        <v>517.40120000000036</v>
      </c>
      <c r="R187">
        <f t="shared" si="9"/>
        <v>405.30494999999996</v>
      </c>
      <c r="S187">
        <f t="shared" si="10"/>
        <v>209705.26749594012</v>
      </c>
      <c r="U187">
        <f t="shared" si="11"/>
        <v>267704.00176144036</v>
      </c>
    </row>
    <row r="188" spans="1:21" ht="15.75" customHeight="1" x14ac:dyDescent="0.25">
      <c r="A188" s="4" t="s">
        <v>51</v>
      </c>
      <c r="B188" s="4" t="s">
        <v>70</v>
      </c>
      <c r="C188" s="4" t="s">
        <v>8</v>
      </c>
      <c r="D188" s="4" t="s">
        <v>12</v>
      </c>
      <c r="E188" s="4">
        <v>689.43</v>
      </c>
      <c r="F188" s="4">
        <v>9</v>
      </c>
      <c r="G188" s="4">
        <v>0.1</v>
      </c>
      <c r="H188" s="5">
        <v>45736</v>
      </c>
      <c r="I188" s="4">
        <v>310.24</v>
      </c>
      <c r="J188" s="4" t="str" cm="1">
        <f t="array" ref="J188">IFERROR(INDEX(B:B,MATCH(IF(E188&gt;1500,E188,"false"),E:E,0),0),"is not high value customer")</f>
        <v>is not high value customer</v>
      </c>
      <c r="L188" s="17">
        <v>0.54513888888888884</v>
      </c>
      <c r="Q188">
        <f t="shared" si="8"/>
        <v>-286.6587999999997</v>
      </c>
      <c r="R188">
        <f t="shared" si="9"/>
        <v>-31.195050000000037</v>
      </c>
      <c r="S188">
        <f t="shared" si="10"/>
        <v>8942.3355989400006</v>
      </c>
      <c r="U188">
        <f t="shared" si="11"/>
        <v>82173.267617439822</v>
      </c>
    </row>
    <row r="189" spans="1:21" ht="15.75" customHeight="1" x14ac:dyDescent="0.25">
      <c r="A189" s="4" t="s">
        <v>57</v>
      </c>
      <c r="B189" s="4" t="s">
        <v>76</v>
      </c>
      <c r="C189" s="4" t="s">
        <v>8</v>
      </c>
      <c r="D189" s="4" t="s">
        <v>12</v>
      </c>
      <c r="E189" s="4">
        <v>682.24</v>
      </c>
      <c r="F189" s="4">
        <v>1</v>
      </c>
      <c r="G189" s="4">
        <v>0</v>
      </c>
      <c r="H189" s="5">
        <v>45738</v>
      </c>
      <c r="I189" s="4">
        <v>341.12</v>
      </c>
      <c r="J189" s="4" t="str" cm="1">
        <f t="array" ref="J189">IFERROR(INDEX(B:B,MATCH(IF(E189&gt;1500,E189,"false"),E:E,0),0),"is not high value customer")</f>
        <v>is not high value customer</v>
      </c>
      <c r="L189" s="17">
        <v>0.54513888888888884</v>
      </c>
      <c r="Q189">
        <f t="shared" si="8"/>
        <v>-293.84879999999964</v>
      </c>
      <c r="R189">
        <f t="shared" si="9"/>
        <v>-0.31505000000004202</v>
      </c>
      <c r="S189">
        <f t="shared" si="10"/>
        <v>92.577064440012236</v>
      </c>
      <c r="U189">
        <f t="shared" si="11"/>
        <v>86347.117261439795</v>
      </c>
    </row>
    <row r="190" spans="1:21" ht="15.75" customHeight="1" x14ac:dyDescent="0.25">
      <c r="A190" s="4" t="s">
        <v>58</v>
      </c>
      <c r="B190" s="4" t="s">
        <v>46</v>
      </c>
      <c r="C190" s="4" t="s">
        <v>7</v>
      </c>
      <c r="D190" s="4" t="s">
        <v>13</v>
      </c>
      <c r="E190" s="4">
        <v>458.54</v>
      </c>
      <c r="F190" s="4">
        <v>15</v>
      </c>
      <c r="G190" s="4">
        <v>0.2</v>
      </c>
      <c r="H190" s="5">
        <v>45741</v>
      </c>
      <c r="I190" s="4">
        <v>91.71</v>
      </c>
      <c r="J190" s="4" t="str" cm="1">
        <f t="array" ref="J190">IFERROR(INDEX(B:B,MATCH(IF(E190&gt;1500,E190,"false"),E:E,0),0),"is not high value customer")</f>
        <v>is not high value customer</v>
      </c>
      <c r="L190" s="17">
        <v>0.54513888888888884</v>
      </c>
      <c r="Q190">
        <f t="shared" si="8"/>
        <v>-517.54879999999957</v>
      </c>
      <c r="R190">
        <f t="shared" si="9"/>
        <v>-249.72505000000007</v>
      </c>
      <c r="S190">
        <f t="shared" si="10"/>
        <v>129244.89995743993</v>
      </c>
      <c r="U190">
        <f t="shared" si="11"/>
        <v>267856.76038143958</v>
      </c>
    </row>
    <row r="191" spans="1:21" ht="15.75" customHeight="1" x14ac:dyDescent="0.25">
      <c r="A191" s="4" t="s">
        <v>51</v>
      </c>
      <c r="B191" s="4" t="s">
        <v>46</v>
      </c>
      <c r="C191" s="4" t="s">
        <v>8</v>
      </c>
      <c r="D191" s="4" t="s">
        <v>14</v>
      </c>
      <c r="E191" s="4">
        <v>1184.25</v>
      </c>
      <c r="F191" s="4">
        <v>11</v>
      </c>
      <c r="G191" s="4">
        <v>0.2</v>
      </c>
      <c r="H191" s="5">
        <v>45742</v>
      </c>
      <c r="I191" s="4">
        <v>331.59</v>
      </c>
      <c r="J191" s="4" t="str" cm="1">
        <f t="array" ref="J191">IFERROR(INDEX(B:B,MATCH(IF(E191&gt;1500,E191,"false"),E:E,0),0),"is not high value customer")</f>
        <v>is not high value customer</v>
      </c>
      <c r="L191" s="17">
        <v>0.54513888888888884</v>
      </c>
      <c r="Q191">
        <f t="shared" si="8"/>
        <v>208.16120000000035</v>
      </c>
      <c r="R191">
        <f t="shared" si="9"/>
        <v>-9.8450500000000716</v>
      </c>
      <c r="S191">
        <f t="shared" si="10"/>
        <v>-2049.3574220600185</v>
      </c>
      <c r="U191">
        <f t="shared" si="11"/>
        <v>43331.085185440148</v>
      </c>
    </row>
    <row r="192" spans="1:21" ht="15.75" customHeight="1" x14ac:dyDescent="0.25">
      <c r="A192" s="4" t="s">
        <v>45</v>
      </c>
      <c r="B192" s="4" t="s">
        <v>37</v>
      </c>
      <c r="C192" s="4" t="s">
        <v>8</v>
      </c>
      <c r="D192" s="4" t="s">
        <v>12</v>
      </c>
      <c r="E192" s="4">
        <v>762.14</v>
      </c>
      <c r="F192" s="4">
        <v>9</v>
      </c>
      <c r="G192" s="4">
        <v>0</v>
      </c>
      <c r="H192" s="5">
        <v>45743</v>
      </c>
      <c r="I192" s="4">
        <v>381.07</v>
      </c>
      <c r="J192" s="4" t="str" cm="1">
        <f t="array" ref="J192">IFERROR(INDEX(B:B,MATCH(IF(E192&gt;1500,E192,"false"),E:E,0),0),"is not high value customer")</f>
        <v>is not high value customer</v>
      </c>
      <c r="L192" s="17">
        <v>0.54513888888888884</v>
      </c>
      <c r="Q192">
        <f t="shared" si="8"/>
        <v>-213.94879999999966</v>
      </c>
      <c r="R192">
        <f t="shared" si="9"/>
        <v>39.634949999999947</v>
      </c>
      <c r="S192">
        <f t="shared" si="10"/>
        <v>-8479.8499905599747</v>
      </c>
      <c r="U192">
        <f t="shared" si="11"/>
        <v>45774.089021439853</v>
      </c>
    </row>
    <row r="193" spans="1:21" ht="15.75" customHeight="1" x14ac:dyDescent="0.25">
      <c r="A193" s="4" t="s">
        <v>43</v>
      </c>
      <c r="B193" s="4" t="s">
        <v>70</v>
      </c>
      <c r="C193" s="4" t="s">
        <v>7</v>
      </c>
      <c r="D193" s="4" t="s">
        <v>11</v>
      </c>
      <c r="E193" s="4">
        <v>750.71</v>
      </c>
      <c r="F193" s="4">
        <v>10</v>
      </c>
      <c r="G193" s="4">
        <v>0.15</v>
      </c>
      <c r="H193" s="5">
        <v>45743</v>
      </c>
      <c r="I193" s="4">
        <v>255.24</v>
      </c>
      <c r="J193" s="4" t="str" cm="1">
        <f t="array" ref="J193">IFERROR(INDEX(B:B,MATCH(IF(E193&gt;1500,E193,"false"),E:E,0),0),"is not high value customer")</f>
        <v>is not high value customer</v>
      </c>
      <c r="L193" s="17">
        <v>0.54513888888888884</v>
      </c>
      <c r="Q193">
        <f t="shared" si="8"/>
        <v>-225.37879999999961</v>
      </c>
      <c r="R193">
        <f t="shared" si="9"/>
        <v>-86.195050000000037</v>
      </c>
      <c r="S193">
        <f t="shared" si="10"/>
        <v>19426.536934939973</v>
      </c>
      <c r="U193">
        <f t="shared" si="11"/>
        <v>50795.603489439825</v>
      </c>
    </row>
    <row r="194" spans="1:21" ht="15.75" customHeight="1" x14ac:dyDescent="0.25">
      <c r="A194" s="4" t="s">
        <v>92</v>
      </c>
      <c r="B194" s="4" t="s">
        <v>88</v>
      </c>
      <c r="C194" s="4" t="s">
        <v>5</v>
      </c>
      <c r="D194" s="4" t="s">
        <v>12</v>
      </c>
      <c r="E194" s="4">
        <v>1456.94</v>
      </c>
      <c r="F194" s="4">
        <v>14</v>
      </c>
      <c r="G194" s="4">
        <v>0.05</v>
      </c>
      <c r="H194" s="5">
        <v>45745</v>
      </c>
      <c r="I194" s="4">
        <v>692.05</v>
      </c>
      <c r="J194" s="4" t="str" cm="1">
        <f t="array" ref="J194">IFERROR(INDEX(B:B,MATCH(IF(E194&gt;1500,E194,"false"),E:E,0),0),"is not high value customer")</f>
        <v>is not high value customer</v>
      </c>
      <c r="L194" s="17">
        <v>0.54513888888888884</v>
      </c>
      <c r="Q194">
        <f t="shared" si="8"/>
        <v>480.8512000000004</v>
      </c>
      <c r="R194">
        <f t="shared" si="9"/>
        <v>350.61494999999991</v>
      </c>
      <c r="S194">
        <f t="shared" si="10"/>
        <v>168593.6194454401</v>
      </c>
      <c r="U194">
        <f t="shared" si="11"/>
        <v>231217.87654144038</v>
      </c>
    </row>
    <row r="195" spans="1:21" ht="15.75" customHeight="1" x14ac:dyDescent="0.25">
      <c r="A195" s="4" t="s">
        <v>61</v>
      </c>
      <c r="B195" s="4" t="s">
        <v>78</v>
      </c>
      <c r="C195" s="4" t="s">
        <v>6</v>
      </c>
      <c r="D195" s="4" t="s">
        <v>14</v>
      </c>
      <c r="E195" s="4">
        <v>1093.3800000000001</v>
      </c>
      <c r="F195" s="4">
        <v>17</v>
      </c>
      <c r="G195" s="4">
        <v>0.1</v>
      </c>
      <c r="H195" s="5">
        <v>45745</v>
      </c>
      <c r="I195" s="4">
        <v>344.41</v>
      </c>
      <c r="J195" s="4" t="str" cm="1">
        <f t="array" ref="J195">IFERROR(INDEX(B:B,MATCH(IF(E195&gt;1500,E195,"false"),E:E,0),0),"is not high value customer")</f>
        <v>is not high value customer</v>
      </c>
      <c r="L195" s="17">
        <v>0.54513888888888884</v>
      </c>
      <c r="Q195">
        <f t="shared" ref="Q195:Q201" si="12">E195-$O$2</f>
        <v>117.29120000000046</v>
      </c>
      <c r="R195">
        <f t="shared" ref="R195:R201" si="13">I195-$P$2</f>
        <v>2.9749499999999784</v>
      </c>
      <c r="S195">
        <f t="shared" ref="S195:S201" si="14">Q195*R195</f>
        <v>348.93545543999886</v>
      </c>
      <c r="U195">
        <f t="shared" ref="U195:U201" si="15">Q195*Q195</f>
        <v>13757.225597440107</v>
      </c>
    </row>
    <row r="196" spans="1:21" ht="15.75" customHeight="1" x14ac:dyDescent="0.25">
      <c r="A196" s="4" t="s">
        <v>55</v>
      </c>
      <c r="B196" s="4" t="s">
        <v>60</v>
      </c>
      <c r="C196" s="4" t="s">
        <v>9</v>
      </c>
      <c r="D196" s="4" t="s">
        <v>12</v>
      </c>
      <c r="E196" s="4">
        <v>934.27</v>
      </c>
      <c r="F196" s="4">
        <v>8</v>
      </c>
      <c r="G196" s="4">
        <v>0.15</v>
      </c>
      <c r="H196" s="5">
        <v>45746</v>
      </c>
      <c r="I196" s="4">
        <v>397.06</v>
      </c>
      <c r="J196" s="4" t="str" cm="1">
        <f t="array" ref="J196">IFERROR(INDEX(B:B,MATCH(IF(E196&gt;1500,E196,"false"),E:E,0),0),"is not high value customer")</f>
        <v>is not high value customer</v>
      </c>
      <c r="L196" s="17">
        <v>0.54513888888888884</v>
      </c>
      <c r="Q196">
        <f t="shared" si="12"/>
        <v>-41.818799999999669</v>
      </c>
      <c r="R196">
        <f t="shared" si="13"/>
        <v>55.624949999999956</v>
      </c>
      <c r="S196">
        <f t="shared" si="14"/>
        <v>-2326.1686590599797</v>
      </c>
      <c r="U196">
        <f t="shared" si="15"/>
        <v>1748.8120334399723</v>
      </c>
    </row>
    <row r="197" spans="1:21" ht="15.75" customHeight="1" x14ac:dyDescent="0.25">
      <c r="A197" s="4" t="s">
        <v>87</v>
      </c>
      <c r="B197" s="4" t="s">
        <v>54</v>
      </c>
      <c r="C197" s="4" t="s">
        <v>5</v>
      </c>
      <c r="D197" s="4" t="s">
        <v>12</v>
      </c>
      <c r="E197" s="4">
        <v>1465.35</v>
      </c>
      <c r="F197" s="4">
        <v>8</v>
      </c>
      <c r="G197" s="4">
        <v>0.2</v>
      </c>
      <c r="H197" s="5">
        <v>45746</v>
      </c>
      <c r="I197" s="4">
        <v>586.14</v>
      </c>
      <c r="J197" s="4" t="str" cm="1">
        <f t="array" ref="J197">IFERROR(INDEX(B:B,MATCH(IF(E197&gt;1500,E197,"false"),E:E,0),0),"is not high value customer")</f>
        <v>is not high value customer</v>
      </c>
      <c r="L197" s="17">
        <v>0.54513888888888884</v>
      </c>
      <c r="Q197">
        <f t="shared" si="12"/>
        <v>489.26120000000026</v>
      </c>
      <c r="R197">
        <f t="shared" si="13"/>
        <v>244.70494999999994</v>
      </c>
      <c r="S197">
        <f t="shared" si="14"/>
        <v>119724.63748294003</v>
      </c>
      <c r="U197">
        <f t="shared" si="15"/>
        <v>239376.52182544026</v>
      </c>
    </row>
    <row r="198" spans="1:21" ht="15.75" customHeight="1" x14ac:dyDescent="0.25">
      <c r="A198" s="4" t="s">
        <v>69</v>
      </c>
      <c r="B198" s="4" t="s">
        <v>39</v>
      </c>
      <c r="C198" s="4" t="s">
        <v>8</v>
      </c>
      <c r="D198" s="4" t="s">
        <v>15</v>
      </c>
      <c r="E198" s="4">
        <v>740.8</v>
      </c>
      <c r="F198" s="4">
        <v>3</v>
      </c>
      <c r="G198" s="4">
        <v>0</v>
      </c>
      <c r="H198" s="5">
        <v>45749</v>
      </c>
      <c r="I198" s="4">
        <v>333.36</v>
      </c>
      <c r="J198" s="4" t="str" cm="1">
        <f t="array" ref="J198">IFERROR(INDEX(B:B,MATCH(IF(E198&gt;1500,E198,"false"),E:E,0),0),"is not high value customer")</f>
        <v>is not high value customer</v>
      </c>
      <c r="L198" s="17">
        <v>0.54513888888888884</v>
      </c>
      <c r="Q198">
        <f t="shared" si="12"/>
        <v>-235.2887999999997</v>
      </c>
      <c r="R198">
        <f t="shared" si="13"/>
        <v>-8.0750500000000329</v>
      </c>
      <c r="S198">
        <f t="shared" si="14"/>
        <v>1899.9688244400054</v>
      </c>
      <c r="U198">
        <f t="shared" si="15"/>
        <v>55360.819405439855</v>
      </c>
    </row>
    <row r="199" spans="1:21" ht="15.75" customHeight="1" x14ac:dyDescent="0.25">
      <c r="A199" s="4" t="s">
        <v>75</v>
      </c>
      <c r="B199" s="4" t="s">
        <v>60</v>
      </c>
      <c r="C199" s="4" t="s">
        <v>9</v>
      </c>
      <c r="D199" s="4" t="s">
        <v>15</v>
      </c>
      <c r="E199" s="4">
        <v>545.44000000000005</v>
      </c>
      <c r="F199" s="4">
        <v>17</v>
      </c>
      <c r="G199" s="4">
        <v>0</v>
      </c>
      <c r="H199" s="5">
        <v>45752</v>
      </c>
      <c r="I199" s="4">
        <v>245.45</v>
      </c>
      <c r="J199" s="4" t="str" cm="1">
        <f t="array" ref="J199">IFERROR(INDEX(B:B,MATCH(IF(E199&gt;1500,E199,"false"),E:E,0),0),"is not high value customer")</f>
        <v>is not high value customer</v>
      </c>
      <c r="L199" s="17">
        <v>0.54513888888888884</v>
      </c>
      <c r="Q199">
        <f t="shared" si="12"/>
        <v>-430.6487999999996</v>
      </c>
      <c r="R199">
        <f t="shared" si="13"/>
        <v>-95.985050000000058</v>
      </c>
      <c r="S199">
        <f t="shared" si="14"/>
        <v>41335.846600439989</v>
      </c>
      <c r="U199">
        <f t="shared" si="15"/>
        <v>185458.38894143965</v>
      </c>
    </row>
    <row r="200" spans="1:21" ht="15.75" customHeight="1" x14ac:dyDescent="0.25">
      <c r="A200" s="4" t="s">
        <v>53</v>
      </c>
      <c r="B200" s="4" t="s">
        <v>54</v>
      </c>
      <c r="C200" s="4" t="s">
        <v>6</v>
      </c>
      <c r="D200" s="4" t="s">
        <v>11</v>
      </c>
      <c r="E200" s="4">
        <v>997.61</v>
      </c>
      <c r="F200" s="4">
        <v>8</v>
      </c>
      <c r="G200" s="4">
        <v>0.05</v>
      </c>
      <c r="H200" s="5">
        <v>45752</v>
      </c>
      <c r="I200" s="4">
        <v>379.09</v>
      </c>
      <c r="J200" s="4" t="str" cm="1">
        <f t="array" ref="J200">IFERROR(INDEX(B:B,MATCH(IF(E200&gt;1500,E200,"false"),E:E,0),0),"is not high value customer")</f>
        <v>is not high value customer</v>
      </c>
      <c r="L200" s="17">
        <v>0.54513888888888884</v>
      </c>
      <c r="Q200">
        <f t="shared" si="12"/>
        <v>21.521200000000363</v>
      </c>
      <c r="R200">
        <f t="shared" si="13"/>
        <v>37.654949999999928</v>
      </c>
      <c r="S200">
        <f t="shared" si="14"/>
        <v>810.37970994001216</v>
      </c>
      <c r="U200">
        <f t="shared" si="15"/>
        <v>463.16204944001561</v>
      </c>
    </row>
    <row r="201" spans="1:21" ht="15.75" customHeight="1" x14ac:dyDescent="0.25">
      <c r="A201" s="4" t="s">
        <v>77</v>
      </c>
      <c r="B201" s="4" t="s">
        <v>54</v>
      </c>
      <c r="C201" s="4" t="s">
        <v>8</v>
      </c>
      <c r="D201" s="4" t="s">
        <v>12</v>
      </c>
      <c r="E201" s="4">
        <v>928.32</v>
      </c>
      <c r="F201" s="4">
        <v>2</v>
      </c>
      <c r="G201" s="4">
        <v>0.05</v>
      </c>
      <c r="H201" s="5">
        <v>45754</v>
      </c>
      <c r="I201" s="4">
        <v>440.95</v>
      </c>
      <c r="J201" s="4" t="str" cm="1">
        <f t="array" ref="J201">IFERROR(INDEX(B:B,MATCH(IF(E201&gt;1500,E201,"false"),E:E,0),0),"is not high value customer")</f>
        <v>is not high value customer</v>
      </c>
      <c r="L201" s="17">
        <v>0.54513888888888884</v>
      </c>
      <c r="Q201">
        <f t="shared" si="12"/>
        <v>-47.768799999999601</v>
      </c>
      <c r="R201">
        <f t="shared" si="13"/>
        <v>99.514949999999942</v>
      </c>
      <c r="S201">
        <f t="shared" si="14"/>
        <v>-4753.7097435599571</v>
      </c>
      <c r="U201">
        <f t="shared" si="15"/>
        <v>2281.858253439962</v>
      </c>
    </row>
    <row r="202" spans="1:21" ht="15.75" customHeight="1" x14ac:dyDescent="0.25">
      <c r="E202" s="12">
        <v>2000.35</v>
      </c>
      <c r="K202" s="9">
        <f>($M$2*E202)+$N$2</f>
        <v>700.80322549592211</v>
      </c>
    </row>
    <row r="203" spans="1:21" ht="15.75" customHeight="1" x14ac:dyDescent="0.25">
      <c r="E203" s="13">
        <v>3500</v>
      </c>
      <c r="K203" s="10">
        <f t="shared" ref="K203:K206" si="16">($M$2*E203)+$N$2</f>
        <v>1226.9644081927377</v>
      </c>
    </row>
    <row r="204" spans="1:21" ht="15.75" customHeight="1" x14ac:dyDescent="0.25">
      <c r="E204" s="13">
        <v>3000</v>
      </c>
      <c r="K204" s="10">
        <f t="shared" si="16"/>
        <v>1051.5364140951765</v>
      </c>
    </row>
    <row r="205" spans="1:21" ht="15.75" customHeight="1" x14ac:dyDescent="0.25">
      <c r="E205" s="13">
        <v>2100</v>
      </c>
      <c r="K205" s="10">
        <f t="shared" si="16"/>
        <v>735.76602471956608</v>
      </c>
    </row>
    <row r="206" spans="1:21" ht="15.75" customHeight="1" x14ac:dyDescent="0.25">
      <c r="E206" s="14">
        <v>1500</v>
      </c>
      <c r="K206" s="11">
        <f t="shared" si="16"/>
        <v>525.25243180249265</v>
      </c>
    </row>
    <row r="207" spans="1:21" ht="15.75" customHeight="1" x14ac:dyDescent="0.25"/>
    <row r="208" spans="1:21"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E1:E1048576">
    <cfRule type="top10" dxfId="0" priority="1" rank="10"/>
  </conditionalFormatting>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79A52-B235-4238-A6CC-BAA22CFB5884}">
  <sheetPr codeName="Sheet4"/>
  <dimension ref="A1:AC384"/>
  <sheetViews>
    <sheetView tabSelected="1" workbookViewId="0">
      <selection sqref="A1:AC384"/>
    </sheetView>
  </sheetViews>
  <sheetFormatPr defaultRowHeight="15" x14ac:dyDescent="0.25"/>
  <sheetData>
    <row r="1" spans="1:29" x14ac:dyDescent="0.25">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row>
    <row r="2" spans="1:29" x14ac:dyDescent="0.25">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row>
    <row r="3" spans="1:29" x14ac:dyDescent="0.2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row>
    <row r="4" spans="1:29" x14ac:dyDescent="0.25">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row>
    <row r="5" spans="1:29" x14ac:dyDescent="0.2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row>
    <row r="6" spans="1:29" x14ac:dyDescent="0.25">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row>
    <row r="7" spans="1:29" x14ac:dyDescent="0.25">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row>
    <row r="8" spans="1:29" x14ac:dyDescent="0.25">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row>
    <row r="9" spans="1:29" x14ac:dyDescent="0.25">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row>
    <row r="10" spans="1:29" x14ac:dyDescent="0.2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row>
    <row r="11" spans="1:29" x14ac:dyDescent="0.2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row>
    <row r="12" spans="1:29" x14ac:dyDescent="0.2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row>
    <row r="13" spans="1:29" x14ac:dyDescent="0.2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row>
    <row r="14" spans="1:29" x14ac:dyDescent="0.2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row>
    <row r="15" spans="1:29" x14ac:dyDescent="0.2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row>
    <row r="16" spans="1:29" x14ac:dyDescent="0.2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row>
    <row r="17" spans="1:29" x14ac:dyDescent="0.2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row>
    <row r="18" spans="1:29" x14ac:dyDescent="0.2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row>
    <row r="19" spans="1:29"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row>
    <row r="20" spans="1:29"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row>
    <row r="21" spans="1:29" x14ac:dyDescent="0.2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row>
    <row r="22" spans="1:29"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row>
    <row r="23" spans="1:29" x14ac:dyDescent="0.2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row>
    <row r="24" spans="1:29" x14ac:dyDescent="0.25">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row>
    <row r="25" spans="1:29" x14ac:dyDescent="0.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row>
    <row r="26" spans="1:29" x14ac:dyDescent="0.2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row>
    <row r="27" spans="1:29"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row>
    <row r="28" spans="1:29"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row>
    <row r="29" spans="1:29"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row>
    <row r="30" spans="1:29"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row>
    <row r="31" spans="1:29"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row>
    <row r="32" spans="1:29"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row>
    <row r="33" spans="1:29"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row>
    <row r="34" spans="1:29"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row>
    <row r="35" spans="1:29"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row>
    <row r="36" spans="1:29"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row>
    <row r="37" spans="1:29"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row>
    <row r="38" spans="1:29"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row>
    <row r="39" spans="1:29"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row>
    <row r="40" spans="1:29"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row>
    <row r="41" spans="1:29"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row>
    <row r="42" spans="1:29"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row>
    <row r="43" spans="1:29"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row>
    <row r="44" spans="1:29"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row>
    <row r="45" spans="1:29"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row>
    <row r="46" spans="1:29"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row>
    <row r="47" spans="1:29"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row>
    <row r="48" spans="1:29"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row>
    <row r="49" spans="1:29"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row>
    <row r="50" spans="1:29"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row>
    <row r="51" spans="1:29"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row>
    <row r="52" spans="1:29"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row>
    <row r="53" spans="1:29"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row>
    <row r="54" spans="1:29"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row>
    <row r="55" spans="1:29"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row>
    <row r="56" spans="1:29"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row>
    <row r="57" spans="1:29"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row>
    <row r="58" spans="1:29"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row>
    <row r="59" spans="1:29"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row>
    <row r="60" spans="1:29"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row>
    <row r="61" spans="1:29"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row>
    <row r="62" spans="1:29"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row>
    <row r="63" spans="1:29"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row>
    <row r="64" spans="1:29"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row>
    <row r="65" spans="1:29"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row>
    <row r="66" spans="1:29"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row>
    <row r="67" spans="1:29"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row>
    <row r="68" spans="1:29"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row>
    <row r="69" spans="1:29"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row>
    <row r="70" spans="1:29"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row>
    <row r="71" spans="1:29"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row>
    <row r="72" spans="1:29"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row>
    <row r="73" spans="1:29"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row>
    <row r="74" spans="1:29"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row>
    <row r="75" spans="1:29"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row>
    <row r="76" spans="1:29"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row>
    <row r="77" spans="1:29"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row>
    <row r="78" spans="1:29"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row>
    <row r="79" spans="1:29"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row>
    <row r="80" spans="1:29"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row>
    <row r="81" spans="1:29"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row>
    <row r="82" spans="1:29"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row>
    <row r="83" spans="1:29"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row>
    <row r="84" spans="1:29"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row>
    <row r="85" spans="1:29"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row>
    <row r="86" spans="1:29"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row>
    <row r="87" spans="1:29"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row>
    <row r="88" spans="1:29"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row>
    <row r="89" spans="1:29"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row>
    <row r="90" spans="1:29"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row>
    <row r="91" spans="1:29"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row>
    <row r="92" spans="1:29"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row>
    <row r="93" spans="1:29"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row>
    <row r="94" spans="1:29"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row>
    <row r="95" spans="1:29"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row>
    <row r="96" spans="1:29"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row>
    <row r="97" spans="1:29"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row>
    <row r="98" spans="1:29"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row>
    <row r="99" spans="1:29"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row>
    <row r="100" spans="1:29"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row>
    <row r="101" spans="1:29"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row>
    <row r="102" spans="1:29"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row>
    <row r="103" spans="1:29"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row>
    <row r="104" spans="1:29"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row>
    <row r="105" spans="1:29"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row>
    <row r="106" spans="1:29"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row>
    <row r="107" spans="1:29"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row>
    <row r="108" spans="1:29" x14ac:dyDescent="0.25">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row>
    <row r="109" spans="1:29" x14ac:dyDescent="0.25">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row>
    <row r="110" spans="1:29" x14ac:dyDescent="0.25">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row>
    <row r="111" spans="1:29" x14ac:dyDescent="0.25">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row>
    <row r="112" spans="1:29" x14ac:dyDescent="0.25">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row>
    <row r="113" spans="1:29" x14ac:dyDescent="0.25">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row>
    <row r="114" spans="1:29" x14ac:dyDescent="0.25">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row>
    <row r="115" spans="1:29" x14ac:dyDescent="0.2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row>
    <row r="116" spans="1:29" x14ac:dyDescent="0.25">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row>
    <row r="117" spans="1:29" x14ac:dyDescent="0.25">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row>
    <row r="118" spans="1:29" x14ac:dyDescent="0.25">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row>
    <row r="119" spans="1:29" x14ac:dyDescent="0.25">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row>
    <row r="120" spans="1:29" x14ac:dyDescent="0.25">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row>
    <row r="121" spans="1:29" x14ac:dyDescent="0.25">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row>
    <row r="122" spans="1:29" x14ac:dyDescent="0.25">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row>
    <row r="123" spans="1:29" x14ac:dyDescent="0.25">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row>
    <row r="124" spans="1:29" x14ac:dyDescent="0.2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row>
    <row r="125" spans="1:29" x14ac:dyDescent="0.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row>
    <row r="126" spans="1:29" x14ac:dyDescent="0.2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row>
    <row r="127" spans="1:29" x14ac:dyDescent="0.25">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row>
    <row r="128" spans="1:29" x14ac:dyDescent="0.2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row>
    <row r="129" spans="1:29" x14ac:dyDescent="0.25">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row>
    <row r="130" spans="1:29" x14ac:dyDescent="0.2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row>
    <row r="131" spans="1:29" x14ac:dyDescent="0.25">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row>
    <row r="132" spans="1:29" x14ac:dyDescent="0.2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row>
    <row r="133" spans="1:29" x14ac:dyDescent="0.25">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row>
    <row r="134" spans="1:29" x14ac:dyDescent="0.2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row>
    <row r="135" spans="1:29" x14ac:dyDescent="0.2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row>
    <row r="136" spans="1:29" x14ac:dyDescent="0.2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row>
    <row r="137" spans="1:29" x14ac:dyDescent="0.25">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row>
    <row r="138" spans="1:29" x14ac:dyDescent="0.2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row>
    <row r="139" spans="1:29" x14ac:dyDescent="0.25">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row>
    <row r="140" spans="1:29" x14ac:dyDescent="0.25">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row>
    <row r="141" spans="1:29" x14ac:dyDescent="0.25">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row>
    <row r="142" spans="1:29" x14ac:dyDescent="0.25">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row>
    <row r="143" spans="1:29" x14ac:dyDescent="0.25">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row>
    <row r="144" spans="1:29" x14ac:dyDescent="0.25">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row>
    <row r="145" spans="1:29" x14ac:dyDescent="0.2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row>
    <row r="146" spans="1:29" x14ac:dyDescent="0.25">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row>
    <row r="147" spans="1:29" x14ac:dyDescent="0.25">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row>
    <row r="148" spans="1:29" x14ac:dyDescent="0.25">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row>
    <row r="149" spans="1:29" x14ac:dyDescent="0.25">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row>
    <row r="150" spans="1:29" x14ac:dyDescent="0.25">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row>
    <row r="151" spans="1:29" x14ac:dyDescent="0.25">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row>
    <row r="152" spans="1:29" x14ac:dyDescent="0.25">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row>
    <row r="153" spans="1:29" x14ac:dyDescent="0.25">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row>
    <row r="154" spans="1:29" x14ac:dyDescent="0.25">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row>
    <row r="155" spans="1:29" x14ac:dyDescent="0.2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row>
    <row r="156" spans="1:29" x14ac:dyDescent="0.25">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row>
    <row r="157" spans="1:29" x14ac:dyDescent="0.25">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row>
    <row r="158" spans="1:29" x14ac:dyDescent="0.25">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row>
    <row r="159" spans="1:29" x14ac:dyDescent="0.25">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row>
    <row r="160" spans="1:29" x14ac:dyDescent="0.25">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row>
    <row r="161" spans="1:29" x14ac:dyDescent="0.25">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row>
    <row r="162" spans="1:29" x14ac:dyDescent="0.25">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row>
    <row r="163" spans="1:29" x14ac:dyDescent="0.25">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row>
    <row r="164" spans="1:29" x14ac:dyDescent="0.25">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row>
    <row r="165" spans="1:29" x14ac:dyDescent="0.2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row>
    <row r="166" spans="1:29" x14ac:dyDescent="0.25">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row>
    <row r="167" spans="1:29" x14ac:dyDescent="0.25">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row>
    <row r="168" spans="1:29" x14ac:dyDescent="0.25">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row>
    <row r="169" spans="1:29" x14ac:dyDescent="0.25">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row>
    <row r="170" spans="1:29" x14ac:dyDescent="0.25">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row>
    <row r="171" spans="1:29" x14ac:dyDescent="0.25">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row>
    <row r="172" spans="1:29" x14ac:dyDescent="0.25">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row>
    <row r="173" spans="1:29" x14ac:dyDescent="0.25">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row>
    <row r="174" spans="1:29" x14ac:dyDescent="0.25">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row>
    <row r="175" spans="1:29" x14ac:dyDescent="0.2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row>
    <row r="176" spans="1:29" x14ac:dyDescent="0.25">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row>
    <row r="177" spans="1:29" x14ac:dyDescent="0.25">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row>
    <row r="178" spans="1:29" x14ac:dyDescent="0.25">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row>
    <row r="179" spans="1:29" x14ac:dyDescent="0.25">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row>
    <row r="180" spans="1:29" x14ac:dyDescent="0.25">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row>
    <row r="181" spans="1:29" x14ac:dyDescent="0.25">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row>
    <row r="182" spans="1:29" x14ac:dyDescent="0.25">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row>
    <row r="183" spans="1:29" x14ac:dyDescent="0.25">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row>
    <row r="184" spans="1:29" x14ac:dyDescent="0.25">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row>
    <row r="185" spans="1:29" x14ac:dyDescent="0.2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row>
    <row r="186" spans="1:29" x14ac:dyDescent="0.25">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row>
    <row r="187" spans="1:29" x14ac:dyDescent="0.25">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row>
    <row r="188" spans="1:29" x14ac:dyDescent="0.25">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row>
    <row r="189" spans="1:29" x14ac:dyDescent="0.25">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row>
    <row r="190" spans="1:29" x14ac:dyDescent="0.25">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row>
    <row r="191" spans="1:29" x14ac:dyDescent="0.25">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row>
    <row r="192" spans="1:29" x14ac:dyDescent="0.25">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row>
    <row r="193" spans="1:29" x14ac:dyDescent="0.25">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row>
    <row r="194" spans="1:29" x14ac:dyDescent="0.25">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row>
    <row r="195" spans="1:29" x14ac:dyDescent="0.2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row>
    <row r="196" spans="1:29" x14ac:dyDescent="0.25">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row>
    <row r="197" spans="1:29" x14ac:dyDescent="0.25">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row>
    <row r="198" spans="1:29" x14ac:dyDescent="0.25">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row>
    <row r="199" spans="1:29" x14ac:dyDescent="0.25">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row>
    <row r="200" spans="1:29" x14ac:dyDescent="0.25">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row>
    <row r="201" spans="1:29" x14ac:dyDescent="0.25">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row>
    <row r="202" spans="1:29" x14ac:dyDescent="0.25">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row>
    <row r="203" spans="1:29" x14ac:dyDescent="0.25">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row>
    <row r="204" spans="1:29" x14ac:dyDescent="0.25">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row>
    <row r="205" spans="1:29" x14ac:dyDescent="0.2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row>
    <row r="206" spans="1:29" x14ac:dyDescent="0.25">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row>
    <row r="207" spans="1:29" x14ac:dyDescent="0.25">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row>
    <row r="208" spans="1:29" x14ac:dyDescent="0.25">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row>
    <row r="209" spans="1:29" x14ac:dyDescent="0.25">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row>
    <row r="210" spans="1:29" x14ac:dyDescent="0.25">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row>
    <row r="211" spans="1:29" x14ac:dyDescent="0.25">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row>
    <row r="212" spans="1:29" x14ac:dyDescent="0.25">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row>
    <row r="213" spans="1:29" x14ac:dyDescent="0.25">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row>
    <row r="214" spans="1:29" x14ac:dyDescent="0.25">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row>
    <row r="215" spans="1:29" x14ac:dyDescent="0.2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row>
    <row r="216" spans="1:29" x14ac:dyDescent="0.25">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row>
    <row r="217" spans="1:29" x14ac:dyDescent="0.25">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row>
    <row r="218" spans="1:29" x14ac:dyDescent="0.25">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row>
    <row r="219" spans="1:29" x14ac:dyDescent="0.25">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row>
    <row r="220" spans="1:29" x14ac:dyDescent="0.25">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row>
    <row r="221" spans="1:29" x14ac:dyDescent="0.2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row>
    <row r="222" spans="1:29" x14ac:dyDescent="0.2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row>
    <row r="223" spans="1:29" x14ac:dyDescent="0.2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row>
    <row r="224" spans="1:29" x14ac:dyDescent="0.2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row>
    <row r="225" spans="1:29" x14ac:dyDescent="0.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row>
    <row r="226" spans="1:29" x14ac:dyDescent="0.2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row>
    <row r="227" spans="1:29" x14ac:dyDescent="0.2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row>
    <row r="228" spans="1:29" x14ac:dyDescent="0.2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row>
    <row r="229" spans="1:29" x14ac:dyDescent="0.2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row>
    <row r="230" spans="1:29" x14ac:dyDescent="0.2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row>
    <row r="231" spans="1:29" x14ac:dyDescent="0.2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row>
    <row r="232" spans="1:29" x14ac:dyDescent="0.2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row>
    <row r="233" spans="1:29" x14ac:dyDescent="0.2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row>
    <row r="234" spans="1:29" x14ac:dyDescent="0.2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row>
    <row r="235" spans="1:29" x14ac:dyDescent="0.2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row>
    <row r="236" spans="1:29" x14ac:dyDescent="0.2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row>
    <row r="237" spans="1:29" x14ac:dyDescent="0.2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row>
    <row r="238" spans="1:29" x14ac:dyDescent="0.2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row>
    <row r="239" spans="1:29" x14ac:dyDescent="0.2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row>
    <row r="240" spans="1:29" x14ac:dyDescent="0.2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row>
    <row r="241" spans="1:29" x14ac:dyDescent="0.2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row>
    <row r="242" spans="1:29" x14ac:dyDescent="0.2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row>
    <row r="243" spans="1:29" x14ac:dyDescent="0.2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row>
    <row r="244" spans="1:29" x14ac:dyDescent="0.2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row>
    <row r="245" spans="1:29" x14ac:dyDescent="0.2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row>
    <row r="246" spans="1:29" x14ac:dyDescent="0.2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row>
    <row r="247" spans="1:29" x14ac:dyDescent="0.2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row>
    <row r="248" spans="1:29" x14ac:dyDescent="0.2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row>
    <row r="249" spans="1:29" x14ac:dyDescent="0.2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row>
    <row r="250" spans="1:29" x14ac:dyDescent="0.2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row>
    <row r="251" spans="1:29" x14ac:dyDescent="0.2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row>
    <row r="252" spans="1:29" x14ac:dyDescent="0.2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row>
    <row r="253" spans="1:29" x14ac:dyDescent="0.2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row>
    <row r="254" spans="1:29" x14ac:dyDescent="0.2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row>
    <row r="255" spans="1:29" x14ac:dyDescent="0.2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row>
    <row r="256" spans="1:29" x14ac:dyDescent="0.2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row>
    <row r="257" spans="1:29" x14ac:dyDescent="0.2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row>
    <row r="258" spans="1:29" x14ac:dyDescent="0.2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row>
    <row r="259" spans="1:29" x14ac:dyDescent="0.2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row>
    <row r="260" spans="1:29" x14ac:dyDescent="0.2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row>
    <row r="261" spans="1:29" x14ac:dyDescent="0.2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row>
    <row r="262" spans="1:29" x14ac:dyDescent="0.2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row>
    <row r="263" spans="1:29" x14ac:dyDescent="0.2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row>
    <row r="264" spans="1:29" x14ac:dyDescent="0.2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row>
    <row r="265" spans="1:29" x14ac:dyDescent="0.2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row>
    <row r="266" spans="1:29" x14ac:dyDescent="0.2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row>
    <row r="267" spans="1:29" x14ac:dyDescent="0.2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row>
    <row r="268" spans="1:29" x14ac:dyDescent="0.2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row>
    <row r="269" spans="1:29" x14ac:dyDescent="0.2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row>
    <row r="270" spans="1:29" x14ac:dyDescent="0.2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row>
    <row r="271" spans="1:29" x14ac:dyDescent="0.2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row>
    <row r="272" spans="1:29" x14ac:dyDescent="0.2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row>
    <row r="273" spans="1:29" x14ac:dyDescent="0.2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row>
    <row r="274" spans="1:29" x14ac:dyDescent="0.2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row>
    <row r="275" spans="1:29" x14ac:dyDescent="0.2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row>
    <row r="276" spans="1:29" x14ac:dyDescent="0.2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row>
    <row r="277" spans="1:29" x14ac:dyDescent="0.2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row>
    <row r="278" spans="1:29" x14ac:dyDescent="0.2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row>
    <row r="279" spans="1:29" x14ac:dyDescent="0.2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row>
    <row r="280" spans="1:29" x14ac:dyDescent="0.2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row>
    <row r="281" spans="1:29" x14ac:dyDescent="0.2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row>
    <row r="282" spans="1:29" x14ac:dyDescent="0.2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row>
    <row r="283" spans="1:29" x14ac:dyDescent="0.2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row>
    <row r="284" spans="1:29" x14ac:dyDescent="0.2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row>
    <row r="285" spans="1:29" x14ac:dyDescent="0.2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row>
    <row r="286" spans="1:29" x14ac:dyDescent="0.2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row>
    <row r="287" spans="1:29" x14ac:dyDescent="0.2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row>
    <row r="288" spans="1:29" x14ac:dyDescent="0.2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row>
    <row r="289" spans="1:29" x14ac:dyDescent="0.2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row>
    <row r="290" spans="1:29" x14ac:dyDescent="0.2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row>
    <row r="291" spans="1:29" x14ac:dyDescent="0.2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row>
    <row r="292" spans="1:29" x14ac:dyDescent="0.2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row>
    <row r="293" spans="1:29" x14ac:dyDescent="0.2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row>
    <row r="294" spans="1:29" x14ac:dyDescent="0.2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row>
    <row r="295" spans="1:29" x14ac:dyDescent="0.2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row>
    <row r="296" spans="1:29" x14ac:dyDescent="0.2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row>
    <row r="297" spans="1:29" x14ac:dyDescent="0.2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row>
    <row r="298" spans="1:29" x14ac:dyDescent="0.2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row>
    <row r="299" spans="1:29" x14ac:dyDescent="0.2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row>
    <row r="300" spans="1:29" x14ac:dyDescent="0.2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row>
    <row r="301" spans="1:29" x14ac:dyDescent="0.2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row>
    <row r="302" spans="1:29" x14ac:dyDescent="0.2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row>
    <row r="303" spans="1:29" x14ac:dyDescent="0.2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row>
    <row r="304" spans="1:29" x14ac:dyDescent="0.2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row>
    <row r="305" spans="1:29" x14ac:dyDescent="0.2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row>
    <row r="306" spans="1:29" x14ac:dyDescent="0.2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row>
    <row r="307" spans="1:29" x14ac:dyDescent="0.2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row>
    <row r="308" spans="1:29" x14ac:dyDescent="0.2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row>
    <row r="309" spans="1:29" x14ac:dyDescent="0.2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row>
    <row r="310" spans="1:29" x14ac:dyDescent="0.2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row>
    <row r="311" spans="1:29" x14ac:dyDescent="0.2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row>
    <row r="312" spans="1:29" x14ac:dyDescent="0.2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row>
    <row r="313" spans="1:29" x14ac:dyDescent="0.2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row>
    <row r="314" spans="1:29" x14ac:dyDescent="0.2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row>
    <row r="315" spans="1:29" x14ac:dyDescent="0.2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row>
    <row r="316" spans="1:29" x14ac:dyDescent="0.2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row>
    <row r="317" spans="1:29" x14ac:dyDescent="0.2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row>
    <row r="318" spans="1:29" x14ac:dyDescent="0.2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row>
    <row r="319" spans="1:29" x14ac:dyDescent="0.2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row>
    <row r="320" spans="1:29" x14ac:dyDescent="0.2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row>
    <row r="321" spans="1:29" x14ac:dyDescent="0.2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row>
    <row r="322" spans="1:29" x14ac:dyDescent="0.2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row>
    <row r="323" spans="1:29" x14ac:dyDescent="0.2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row>
    <row r="324" spans="1:29" x14ac:dyDescent="0.2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row>
    <row r="325" spans="1:29" x14ac:dyDescent="0.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row>
    <row r="326" spans="1:29" x14ac:dyDescent="0.2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row>
    <row r="327" spans="1:29" x14ac:dyDescent="0.2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row>
    <row r="328" spans="1:29" x14ac:dyDescent="0.2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row>
    <row r="329" spans="1:29" x14ac:dyDescent="0.2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row>
    <row r="330" spans="1:29" x14ac:dyDescent="0.2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row>
    <row r="331" spans="1:29" x14ac:dyDescent="0.2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row>
    <row r="332" spans="1:29" x14ac:dyDescent="0.2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row>
    <row r="333" spans="1:29" x14ac:dyDescent="0.2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row>
    <row r="334" spans="1:29" x14ac:dyDescent="0.2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row>
    <row r="335" spans="1:29" x14ac:dyDescent="0.2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row>
    <row r="336" spans="1:29" x14ac:dyDescent="0.2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row>
    <row r="337" spans="1:29" x14ac:dyDescent="0.2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row>
    <row r="338" spans="1:29" x14ac:dyDescent="0.2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row>
    <row r="339" spans="1:29" x14ac:dyDescent="0.2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row>
    <row r="340" spans="1:29" x14ac:dyDescent="0.2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row>
    <row r="341" spans="1:29" x14ac:dyDescent="0.2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row>
    <row r="342" spans="1:29" x14ac:dyDescent="0.2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row>
    <row r="343" spans="1:29" x14ac:dyDescent="0.2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row>
    <row r="344" spans="1:29" x14ac:dyDescent="0.2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row>
    <row r="345" spans="1:29" x14ac:dyDescent="0.2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row>
    <row r="346" spans="1:29" x14ac:dyDescent="0.2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row>
    <row r="347" spans="1:29" x14ac:dyDescent="0.2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row>
    <row r="348" spans="1:29" x14ac:dyDescent="0.2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row>
    <row r="349" spans="1:29" x14ac:dyDescent="0.2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row>
    <row r="350" spans="1:29" x14ac:dyDescent="0.2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row>
    <row r="351" spans="1:29" x14ac:dyDescent="0.2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row>
    <row r="352" spans="1:29" x14ac:dyDescent="0.2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row>
    <row r="353" spans="1:29" x14ac:dyDescent="0.2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row>
    <row r="354" spans="1:29" x14ac:dyDescent="0.2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row>
    <row r="355" spans="1:29" x14ac:dyDescent="0.2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row>
    <row r="356" spans="1:29" x14ac:dyDescent="0.2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row>
    <row r="357" spans="1:29" x14ac:dyDescent="0.2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row>
    <row r="358" spans="1:29" x14ac:dyDescent="0.2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row>
    <row r="359" spans="1:29" x14ac:dyDescent="0.2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row>
    <row r="360" spans="1:29" x14ac:dyDescent="0.2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row>
    <row r="361" spans="1:29" x14ac:dyDescent="0.2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row>
    <row r="362" spans="1:29" x14ac:dyDescent="0.2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row>
    <row r="363" spans="1:29" x14ac:dyDescent="0.2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row>
    <row r="364" spans="1:29" x14ac:dyDescent="0.2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row>
    <row r="365" spans="1:29" x14ac:dyDescent="0.2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row>
    <row r="366" spans="1:29" x14ac:dyDescent="0.2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row>
    <row r="367" spans="1:29" x14ac:dyDescent="0.2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row>
    <row r="368" spans="1:29" x14ac:dyDescent="0.2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row>
    <row r="369" spans="1:29" x14ac:dyDescent="0.2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row>
    <row r="370" spans="1:29" x14ac:dyDescent="0.2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row>
    <row r="371" spans="1:29" x14ac:dyDescent="0.2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row>
    <row r="372" spans="1:29" x14ac:dyDescent="0.2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row>
    <row r="373" spans="1:29" x14ac:dyDescent="0.2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row>
    <row r="374" spans="1:29" x14ac:dyDescent="0.2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row>
    <row r="375" spans="1:29" x14ac:dyDescent="0.2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row>
    <row r="376" spans="1:29" x14ac:dyDescent="0.2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row>
    <row r="377" spans="1:29" x14ac:dyDescent="0.2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row>
    <row r="378" spans="1:29" x14ac:dyDescent="0.2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row>
    <row r="379" spans="1:29" x14ac:dyDescent="0.2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row>
    <row r="380" spans="1:29" x14ac:dyDescent="0.2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row>
    <row r="381" spans="1:29" x14ac:dyDescent="0.2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row>
    <row r="382" spans="1:29" x14ac:dyDescent="0.2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row>
    <row r="383" spans="1:29" x14ac:dyDescent="0.2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row>
    <row r="384" spans="1:29" x14ac:dyDescent="0.2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row>
  </sheetData>
  <mergeCells count="1">
    <mergeCell ref="A1:AC38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E5AA6-250F-4598-9BBA-ACB824816A20}">
  <sheetPr codeName="Sheet5"/>
  <dimension ref="C1:L206"/>
  <sheetViews>
    <sheetView workbookViewId="0">
      <selection activeCell="G31" sqref="G31"/>
    </sheetView>
  </sheetViews>
  <sheetFormatPr defaultRowHeight="15" x14ac:dyDescent="0.25"/>
  <cols>
    <col min="1" max="1" width="13.5703125" bestFit="1" customWidth="1"/>
    <col min="2" max="2" width="12.140625" bestFit="1" customWidth="1"/>
    <col min="6" max="6" width="13.140625" bestFit="1" customWidth="1"/>
    <col min="7" max="7" width="12" bestFit="1" customWidth="1"/>
    <col min="9" max="9" width="8" customWidth="1"/>
    <col min="10" max="10" width="8.7109375" customWidth="1"/>
    <col min="11" max="11" width="7" customWidth="1"/>
  </cols>
  <sheetData>
    <row r="1" spans="3:12" x14ac:dyDescent="0.25">
      <c r="I1" s="22" t="s">
        <v>100</v>
      </c>
      <c r="J1" s="22"/>
      <c r="K1" s="22"/>
      <c r="L1" s="22"/>
    </row>
    <row r="2" spans="3:12" x14ac:dyDescent="0.25">
      <c r="I2" s="19" t="s">
        <v>94</v>
      </c>
      <c r="J2" s="19" t="s">
        <v>97</v>
      </c>
      <c r="K2" s="19" t="s">
        <v>98</v>
      </c>
      <c r="L2" s="19" t="s">
        <v>99</v>
      </c>
    </row>
    <row r="3" spans="3:12" x14ac:dyDescent="0.25">
      <c r="C3" t="s">
        <v>93</v>
      </c>
      <c r="D3" t="s">
        <v>94</v>
      </c>
      <c r="I3">
        <v>1036.0899999999999</v>
      </c>
      <c r="J3" s="4">
        <v>0.3</v>
      </c>
      <c r="K3">
        <f>I3-(I3*J3)</f>
        <v>725.26299999999992</v>
      </c>
      <c r="L3" s="20">
        <f>SUM(K3:K12)</f>
        <v>4713.9955</v>
      </c>
    </row>
    <row r="4" spans="3:12" x14ac:dyDescent="0.25">
      <c r="C4">
        <f>MONTH(A4)</f>
        <v>1</v>
      </c>
      <c r="D4">
        <v>1036.0899999999999</v>
      </c>
      <c r="I4">
        <v>1101.28</v>
      </c>
      <c r="J4" s="4">
        <v>0.3</v>
      </c>
      <c r="K4">
        <f t="shared" ref="K4:K7" si="0">I4-(I4*J4)</f>
        <v>770.89599999999996</v>
      </c>
    </row>
    <row r="5" spans="3:12" x14ac:dyDescent="0.25">
      <c r="C5">
        <f t="shared" ref="C5:C68" si="1">MONTH(A5)</f>
        <v>1</v>
      </c>
      <c r="D5">
        <v>1101.28</v>
      </c>
      <c r="I5">
        <v>1474.27</v>
      </c>
      <c r="J5" s="4">
        <v>0.1</v>
      </c>
      <c r="K5">
        <f t="shared" si="0"/>
        <v>1326.8430000000001</v>
      </c>
    </row>
    <row r="6" spans="3:12" x14ac:dyDescent="0.25">
      <c r="C6">
        <f t="shared" si="1"/>
        <v>1</v>
      </c>
      <c r="D6">
        <v>1474.27</v>
      </c>
      <c r="I6">
        <v>847</v>
      </c>
      <c r="J6" s="4">
        <v>0.25</v>
      </c>
      <c r="K6">
        <f t="shared" si="0"/>
        <v>635.25</v>
      </c>
    </row>
    <row r="7" spans="3:12" x14ac:dyDescent="0.25">
      <c r="C7">
        <f t="shared" si="1"/>
        <v>1</v>
      </c>
      <c r="D7">
        <v>847</v>
      </c>
      <c r="I7">
        <v>2283.17</v>
      </c>
      <c r="J7" s="4">
        <v>0.45</v>
      </c>
      <c r="K7">
        <f t="shared" si="0"/>
        <v>1255.7435</v>
      </c>
    </row>
    <row r="8" spans="3:12" x14ac:dyDescent="0.25">
      <c r="C8">
        <f t="shared" si="1"/>
        <v>1</v>
      </c>
      <c r="D8">
        <v>2283.17</v>
      </c>
      <c r="F8" s="15" t="s">
        <v>95</v>
      </c>
      <c r="G8" t="s">
        <v>96</v>
      </c>
      <c r="J8" s="4"/>
    </row>
    <row r="9" spans="3:12" x14ac:dyDescent="0.25">
      <c r="C9">
        <f t="shared" si="1"/>
        <v>1</v>
      </c>
      <c r="D9">
        <v>2313.3199999999997</v>
      </c>
      <c r="F9" s="18">
        <v>1</v>
      </c>
      <c r="G9" s="16">
        <v>14914.649999999998</v>
      </c>
      <c r="J9" s="4"/>
    </row>
    <row r="10" spans="3:12" x14ac:dyDescent="0.25">
      <c r="C10">
        <f t="shared" si="1"/>
        <v>1</v>
      </c>
      <c r="D10">
        <v>1572.82</v>
      </c>
      <c r="F10" s="18">
        <v>2</v>
      </c>
      <c r="G10" s="16">
        <v>14006.359999999999</v>
      </c>
      <c r="J10" s="4"/>
    </row>
    <row r="11" spans="3:12" x14ac:dyDescent="0.25">
      <c r="C11">
        <f t="shared" si="1"/>
        <v>1</v>
      </c>
      <c r="D11">
        <v>1343.13</v>
      </c>
      <c r="F11" s="18">
        <v>3</v>
      </c>
      <c r="G11" s="16">
        <v>17655.22</v>
      </c>
      <c r="J11" s="4"/>
    </row>
    <row r="12" spans="3:12" x14ac:dyDescent="0.25">
      <c r="C12">
        <f t="shared" si="1"/>
        <v>1</v>
      </c>
      <c r="D12">
        <v>2013.86</v>
      </c>
      <c r="F12" s="18">
        <v>4</v>
      </c>
      <c r="G12" s="16">
        <v>22242.129999999997</v>
      </c>
      <c r="J12" s="4"/>
    </row>
    <row r="13" spans="3:12" x14ac:dyDescent="0.25">
      <c r="C13">
        <f t="shared" si="1"/>
        <v>1</v>
      </c>
      <c r="D13">
        <v>521.66999999999996</v>
      </c>
      <c r="F13" s="18">
        <v>5</v>
      </c>
      <c r="G13" s="16">
        <v>18507.340000000004</v>
      </c>
      <c r="I13" s="4"/>
      <c r="J13" s="4"/>
      <c r="K13" s="4"/>
    </row>
    <row r="14" spans="3:12" x14ac:dyDescent="0.25">
      <c r="C14">
        <f t="shared" si="1"/>
        <v>1</v>
      </c>
      <c r="D14">
        <v>1502.93</v>
      </c>
      <c r="F14" s="18">
        <v>6</v>
      </c>
      <c r="G14" s="16">
        <v>20187.510000000002</v>
      </c>
      <c r="I14" s="4"/>
      <c r="J14" s="4"/>
      <c r="K14" s="4"/>
    </row>
    <row r="15" spans="3:12" x14ac:dyDescent="0.25">
      <c r="C15">
        <f t="shared" si="1"/>
        <v>1</v>
      </c>
      <c r="D15">
        <v>1514.2800000000002</v>
      </c>
      <c r="F15" s="18">
        <v>7</v>
      </c>
      <c r="G15" s="16">
        <v>11609.039999999999</v>
      </c>
      <c r="I15" s="4"/>
      <c r="J15" s="4"/>
      <c r="K15" s="4"/>
    </row>
    <row r="16" spans="3:12" x14ac:dyDescent="0.25">
      <c r="C16">
        <f t="shared" si="1"/>
        <v>1</v>
      </c>
      <c r="D16">
        <v>1506.14</v>
      </c>
      <c r="F16" s="18">
        <v>8</v>
      </c>
      <c r="G16" s="16">
        <v>10091.699999999999</v>
      </c>
      <c r="I16" s="4"/>
      <c r="J16" s="4"/>
      <c r="K16" s="4"/>
    </row>
    <row r="17" spans="3:11" x14ac:dyDescent="0.25">
      <c r="C17">
        <f t="shared" si="1"/>
        <v>1</v>
      </c>
      <c r="D17">
        <v>645.02</v>
      </c>
      <c r="F17" s="18">
        <v>9</v>
      </c>
      <c r="G17" s="16">
        <v>20533.499999999996</v>
      </c>
      <c r="I17" s="4"/>
      <c r="J17" s="4"/>
      <c r="K17" s="4"/>
    </row>
    <row r="18" spans="3:11" x14ac:dyDescent="0.25">
      <c r="C18">
        <f t="shared" si="1"/>
        <v>1</v>
      </c>
      <c r="D18">
        <v>953.3</v>
      </c>
      <c r="F18" s="18">
        <v>10</v>
      </c>
      <c r="G18" s="16">
        <v>14215.240000000002</v>
      </c>
      <c r="I18" s="4"/>
      <c r="J18" s="4"/>
      <c r="K18" s="4"/>
    </row>
    <row r="19" spans="3:11" x14ac:dyDescent="0.25">
      <c r="C19">
        <f t="shared" si="1"/>
        <v>1</v>
      </c>
      <c r="D19">
        <v>1838.1</v>
      </c>
      <c r="F19" s="18">
        <v>11</v>
      </c>
      <c r="G19" s="16">
        <v>20135.03</v>
      </c>
      <c r="I19" s="4"/>
      <c r="J19" s="4"/>
      <c r="K19" s="4"/>
    </row>
    <row r="20" spans="3:11" x14ac:dyDescent="0.25">
      <c r="C20">
        <f t="shared" si="1"/>
        <v>1</v>
      </c>
      <c r="D20">
        <v>2098.4299999999998</v>
      </c>
      <c r="F20" s="18">
        <v>12</v>
      </c>
      <c r="G20" s="16">
        <v>11120.04</v>
      </c>
      <c r="I20" s="4"/>
      <c r="J20" s="4"/>
      <c r="K20" s="4"/>
    </row>
    <row r="21" spans="3:11" x14ac:dyDescent="0.25">
      <c r="C21">
        <f t="shared" si="1"/>
        <v>1</v>
      </c>
      <c r="D21">
        <v>675.54</v>
      </c>
      <c r="F21" s="18" t="s">
        <v>10</v>
      </c>
      <c r="G21" s="16">
        <v>195217.75999999998</v>
      </c>
      <c r="I21" s="4"/>
      <c r="J21" s="4"/>
      <c r="K21" s="4"/>
    </row>
    <row r="22" spans="3:11" x14ac:dyDescent="0.25">
      <c r="C22">
        <f t="shared" si="1"/>
        <v>1</v>
      </c>
      <c r="D22">
        <v>939.09</v>
      </c>
      <c r="I22" s="4"/>
      <c r="J22" s="4"/>
      <c r="K22" s="4"/>
    </row>
    <row r="23" spans="3:11" x14ac:dyDescent="0.25">
      <c r="C23">
        <f t="shared" si="1"/>
        <v>1</v>
      </c>
      <c r="D23">
        <v>1784.5500000000002</v>
      </c>
      <c r="I23" s="4"/>
      <c r="J23" s="4"/>
      <c r="K23" s="4"/>
    </row>
    <row r="24" spans="3:11" x14ac:dyDescent="0.25">
      <c r="C24">
        <f t="shared" si="1"/>
        <v>1</v>
      </c>
      <c r="D24">
        <v>1450.71</v>
      </c>
      <c r="I24" s="4"/>
      <c r="J24" s="4"/>
      <c r="K24" s="4"/>
    </row>
    <row r="25" spans="3:11" x14ac:dyDescent="0.25">
      <c r="C25">
        <f t="shared" si="1"/>
        <v>1</v>
      </c>
      <c r="D25">
        <v>1876.93</v>
      </c>
      <c r="I25" s="4"/>
      <c r="J25" s="4"/>
      <c r="K25" s="4"/>
    </row>
    <row r="26" spans="3:11" x14ac:dyDescent="0.25">
      <c r="C26">
        <f t="shared" si="1"/>
        <v>1</v>
      </c>
      <c r="D26">
        <v>3482.09</v>
      </c>
      <c r="I26" s="4"/>
      <c r="J26" s="4"/>
      <c r="K26" s="4"/>
    </row>
    <row r="27" spans="3:11" x14ac:dyDescent="0.25">
      <c r="C27">
        <f t="shared" si="1"/>
        <v>1</v>
      </c>
      <c r="D27">
        <v>2183.15</v>
      </c>
      <c r="I27" s="4"/>
      <c r="J27" s="4"/>
      <c r="K27" s="4"/>
    </row>
    <row r="28" spans="3:11" x14ac:dyDescent="0.25">
      <c r="C28">
        <f t="shared" si="1"/>
        <v>1</v>
      </c>
      <c r="D28">
        <v>580.42999999999995</v>
      </c>
      <c r="I28" s="4"/>
      <c r="J28" s="4"/>
      <c r="K28" s="4"/>
    </row>
    <row r="29" spans="3:11" x14ac:dyDescent="0.25">
      <c r="C29">
        <f t="shared" si="1"/>
        <v>1</v>
      </c>
      <c r="D29">
        <v>1151.21</v>
      </c>
      <c r="I29" s="4"/>
      <c r="J29" s="4"/>
      <c r="K29" s="4"/>
    </row>
    <row r="30" spans="3:11" x14ac:dyDescent="0.25">
      <c r="C30">
        <f t="shared" si="1"/>
        <v>1</v>
      </c>
      <c r="D30">
        <v>1582.4</v>
      </c>
      <c r="I30" s="4"/>
      <c r="J30" s="4"/>
      <c r="K30" s="4"/>
    </row>
    <row r="31" spans="3:11" x14ac:dyDescent="0.25">
      <c r="C31">
        <f t="shared" si="1"/>
        <v>1</v>
      </c>
      <c r="D31">
        <v>2068.1</v>
      </c>
      <c r="I31" s="4"/>
      <c r="J31" s="4"/>
      <c r="K31" s="4"/>
    </row>
    <row r="32" spans="3:11" x14ac:dyDescent="0.25">
      <c r="C32">
        <f t="shared" si="1"/>
        <v>1</v>
      </c>
      <c r="D32">
        <v>2082.12</v>
      </c>
      <c r="I32" s="4"/>
      <c r="J32" s="4"/>
      <c r="K32" s="4"/>
    </row>
    <row r="33" spans="3:11" x14ac:dyDescent="0.25">
      <c r="C33">
        <f t="shared" si="1"/>
        <v>1</v>
      </c>
      <c r="D33">
        <v>1001.57</v>
      </c>
      <c r="I33" s="4"/>
      <c r="J33" s="4"/>
      <c r="K33" s="4"/>
    </row>
    <row r="34" spans="3:11" x14ac:dyDescent="0.25">
      <c r="C34">
        <f t="shared" si="1"/>
        <v>1</v>
      </c>
      <c r="D34">
        <v>1186.8499999999999</v>
      </c>
      <c r="I34" s="4"/>
      <c r="J34" s="4"/>
      <c r="K34" s="4"/>
    </row>
    <row r="35" spans="3:11" x14ac:dyDescent="0.25">
      <c r="C35">
        <f t="shared" si="1"/>
        <v>1</v>
      </c>
      <c r="D35">
        <v>775.45</v>
      </c>
      <c r="I35" s="4"/>
      <c r="J35" s="4"/>
      <c r="K35" s="4"/>
    </row>
    <row r="36" spans="3:11" x14ac:dyDescent="0.25">
      <c r="C36">
        <f t="shared" si="1"/>
        <v>1</v>
      </c>
      <c r="D36">
        <v>1021.47</v>
      </c>
      <c r="I36" s="4"/>
      <c r="J36" s="4"/>
      <c r="K36" s="4"/>
    </row>
    <row r="37" spans="3:11" x14ac:dyDescent="0.25">
      <c r="C37">
        <f t="shared" si="1"/>
        <v>1</v>
      </c>
      <c r="D37">
        <v>1226.6199999999999</v>
      </c>
      <c r="I37" s="4"/>
      <c r="J37" s="4"/>
      <c r="K37" s="4"/>
    </row>
    <row r="38" spans="3:11" x14ac:dyDescent="0.25">
      <c r="C38">
        <f t="shared" si="1"/>
        <v>1</v>
      </c>
      <c r="D38">
        <v>1086.93</v>
      </c>
      <c r="I38" s="4"/>
      <c r="J38" s="4"/>
      <c r="K38" s="4"/>
    </row>
    <row r="39" spans="3:11" x14ac:dyDescent="0.25">
      <c r="C39">
        <f t="shared" si="1"/>
        <v>1</v>
      </c>
      <c r="D39">
        <v>942.9</v>
      </c>
      <c r="I39" s="4"/>
      <c r="J39" s="4"/>
      <c r="K39" s="4"/>
    </row>
    <row r="40" spans="3:11" x14ac:dyDescent="0.25">
      <c r="C40">
        <f t="shared" si="1"/>
        <v>1</v>
      </c>
      <c r="D40">
        <v>1737.84</v>
      </c>
      <c r="I40" s="4"/>
      <c r="J40" s="4"/>
      <c r="K40" s="4"/>
    </row>
    <row r="41" spans="3:11" x14ac:dyDescent="0.25">
      <c r="C41">
        <f t="shared" si="1"/>
        <v>1</v>
      </c>
      <c r="D41">
        <v>973.26</v>
      </c>
      <c r="I41" s="4"/>
      <c r="J41" s="4"/>
      <c r="K41" s="4"/>
    </row>
    <row r="42" spans="3:11" x14ac:dyDescent="0.25">
      <c r="C42">
        <f t="shared" si="1"/>
        <v>1</v>
      </c>
      <c r="D42">
        <v>741.61</v>
      </c>
      <c r="I42" s="4"/>
      <c r="J42" s="4"/>
      <c r="K42" s="4"/>
    </row>
    <row r="43" spans="3:11" x14ac:dyDescent="0.25">
      <c r="C43">
        <f t="shared" si="1"/>
        <v>1</v>
      </c>
      <c r="D43">
        <v>2609.1799999999998</v>
      </c>
      <c r="I43" s="4"/>
      <c r="J43" s="4"/>
      <c r="K43" s="4"/>
    </row>
    <row r="44" spans="3:11" x14ac:dyDescent="0.25">
      <c r="C44">
        <f t="shared" si="1"/>
        <v>1</v>
      </c>
      <c r="D44">
        <v>1383.3</v>
      </c>
      <c r="I44" s="4"/>
      <c r="J44" s="4"/>
      <c r="K44" s="4"/>
    </row>
    <row r="45" spans="3:11" x14ac:dyDescent="0.25">
      <c r="C45">
        <f t="shared" si="1"/>
        <v>1</v>
      </c>
      <c r="D45">
        <v>488.99</v>
      </c>
      <c r="I45" s="4"/>
      <c r="J45" s="4"/>
      <c r="K45" s="4"/>
    </row>
    <row r="46" spans="3:11" x14ac:dyDescent="0.25">
      <c r="C46">
        <f t="shared" si="1"/>
        <v>1</v>
      </c>
      <c r="D46">
        <v>1939.24</v>
      </c>
      <c r="I46" s="4"/>
      <c r="J46" s="4"/>
      <c r="K46" s="4"/>
    </row>
    <row r="47" spans="3:11" x14ac:dyDescent="0.25">
      <c r="C47">
        <f t="shared" si="1"/>
        <v>1</v>
      </c>
      <c r="D47">
        <v>1100.0999999999999</v>
      </c>
      <c r="I47" s="4"/>
      <c r="J47" s="4"/>
      <c r="K47" s="4"/>
    </row>
    <row r="48" spans="3:11" x14ac:dyDescent="0.25">
      <c r="C48">
        <f t="shared" si="1"/>
        <v>1</v>
      </c>
      <c r="D48">
        <v>1034.7</v>
      </c>
      <c r="I48" s="4"/>
      <c r="J48" s="4"/>
      <c r="K48" s="4"/>
    </row>
    <row r="49" spans="3:11" x14ac:dyDescent="0.25">
      <c r="C49">
        <f t="shared" si="1"/>
        <v>1</v>
      </c>
      <c r="D49">
        <v>2247.7799999999997</v>
      </c>
      <c r="I49" s="4"/>
      <c r="J49" s="4"/>
      <c r="K49" s="4"/>
    </row>
    <row r="50" spans="3:11" x14ac:dyDescent="0.25">
      <c r="C50">
        <f t="shared" si="1"/>
        <v>1</v>
      </c>
      <c r="D50">
        <v>1020.26</v>
      </c>
      <c r="I50" s="4"/>
      <c r="J50" s="4"/>
      <c r="K50" s="4"/>
    </row>
    <row r="51" spans="3:11" x14ac:dyDescent="0.25">
      <c r="C51">
        <f t="shared" si="1"/>
        <v>1</v>
      </c>
      <c r="D51">
        <v>804.81</v>
      </c>
      <c r="I51" s="4"/>
      <c r="J51" s="4"/>
      <c r="K51" s="4"/>
    </row>
    <row r="52" spans="3:11" x14ac:dyDescent="0.25">
      <c r="C52">
        <f t="shared" si="1"/>
        <v>1</v>
      </c>
      <c r="D52">
        <v>608.66</v>
      </c>
      <c r="I52" s="4"/>
      <c r="J52" s="4"/>
      <c r="K52" s="4"/>
    </row>
    <row r="53" spans="3:11" x14ac:dyDescent="0.25">
      <c r="C53">
        <f t="shared" si="1"/>
        <v>1</v>
      </c>
      <c r="D53">
        <v>981.2</v>
      </c>
      <c r="I53" s="4"/>
      <c r="J53" s="4"/>
      <c r="K53" s="4"/>
    </row>
    <row r="54" spans="3:11" x14ac:dyDescent="0.25">
      <c r="C54">
        <f t="shared" si="1"/>
        <v>1</v>
      </c>
      <c r="D54">
        <v>1344.22</v>
      </c>
      <c r="I54" s="4"/>
      <c r="J54" s="4"/>
      <c r="K54" s="4"/>
    </row>
    <row r="55" spans="3:11" x14ac:dyDescent="0.25">
      <c r="C55">
        <f t="shared" si="1"/>
        <v>1</v>
      </c>
      <c r="D55">
        <v>1526.6</v>
      </c>
      <c r="I55" s="4"/>
      <c r="J55" s="4"/>
      <c r="K55" s="4"/>
    </row>
    <row r="56" spans="3:11" x14ac:dyDescent="0.25">
      <c r="C56">
        <f t="shared" si="1"/>
        <v>1</v>
      </c>
      <c r="D56">
        <v>1215.26</v>
      </c>
      <c r="I56" s="4"/>
      <c r="J56" s="4"/>
      <c r="K56" s="4"/>
    </row>
    <row r="57" spans="3:11" x14ac:dyDescent="0.25">
      <c r="C57">
        <f t="shared" si="1"/>
        <v>1</v>
      </c>
      <c r="D57">
        <v>1261.3399999999999</v>
      </c>
      <c r="I57" s="4"/>
      <c r="J57" s="4"/>
      <c r="K57" s="4"/>
    </row>
    <row r="58" spans="3:11" x14ac:dyDescent="0.25">
      <c r="C58">
        <f t="shared" si="1"/>
        <v>1</v>
      </c>
      <c r="D58">
        <v>518.07000000000005</v>
      </c>
      <c r="I58" s="4"/>
      <c r="J58" s="4"/>
      <c r="K58" s="4"/>
    </row>
    <row r="59" spans="3:11" x14ac:dyDescent="0.25">
      <c r="C59">
        <f t="shared" si="1"/>
        <v>1</v>
      </c>
      <c r="D59">
        <v>1111.3399999999999</v>
      </c>
      <c r="I59" s="4"/>
      <c r="J59" s="4"/>
      <c r="K59" s="4"/>
    </row>
    <row r="60" spans="3:11" x14ac:dyDescent="0.25">
      <c r="C60">
        <f t="shared" si="1"/>
        <v>1</v>
      </c>
      <c r="D60">
        <v>1291.47</v>
      </c>
      <c r="I60" s="4"/>
      <c r="J60" s="4"/>
      <c r="K60" s="4"/>
    </row>
    <row r="61" spans="3:11" x14ac:dyDescent="0.25">
      <c r="C61">
        <f t="shared" si="1"/>
        <v>1</v>
      </c>
      <c r="D61">
        <v>1823.4</v>
      </c>
      <c r="I61" s="4"/>
      <c r="J61" s="4"/>
      <c r="K61" s="4"/>
    </row>
    <row r="62" spans="3:11" x14ac:dyDescent="0.25">
      <c r="C62">
        <f t="shared" si="1"/>
        <v>1</v>
      </c>
      <c r="D62">
        <v>1860.7600000000002</v>
      </c>
      <c r="I62" s="4"/>
      <c r="J62" s="4"/>
      <c r="K62" s="4"/>
    </row>
    <row r="63" spans="3:11" x14ac:dyDescent="0.25">
      <c r="C63">
        <f t="shared" si="1"/>
        <v>1</v>
      </c>
      <c r="D63">
        <v>2504.7600000000002</v>
      </c>
      <c r="I63" s="4"/>
      <c r="J63" s="4"/>
      <c r="K63" s="4"/>
    </row>
    <row r="64" spans="3:11" x14ac:dyDescent="0.25">
      <c r="C64">
        <f t="shared" si="1"/>
        <v>1</v>
      </c>
      <c r="D64">
        <v>873.7</v>
      </c>
      <c r="I64" s="4"/>
      <c r="J64" s="4"/>
      <c r="K64" s="4"/>
    </row>
    <row r="65" spans="3:11" x14ac:dyDescent="0.25">
      <c r="C65">
        <f t="shared" si="1"/>
        <v>1</v>
      </c>
      <c r="D65">
        <v>1443.98</v>
      </c>
      <c r="I65" s="4"/>
      <c r="J65" s="4"/>
      <c r="K65" s="4"/>
    </row>
    <row r="66" spans="3:11" x14ac:dyDescent="0.25">
      <c r="C66">
        <f t="shared" si="1"/>
        <v>1</v>
      </c>
      <c r="D66">
        <v>2418.8199999999997</v>
      </c>
      <c r="I66" s="4"/>
      <c r="J66" s="4"/>
      <c r="K66" s="4"/>
    </row>
    <row r="67" spans="3:11" x14ac:dyDescent="0.25">
      <c r="C67">
        <f t="shared" si="1"/>
        <v>1</v>
      </c>
      <c r="D67">
        <v>1101.55</v>
      </c>
      <c r="I67" s="4"/>
      <c r="J67" s="4"/>
      <c r="K67" s="4"/>
    </row>
    <row r="68" spans="3:11" x14ac:dyDescent="0.25">
      <c r="C68">
        <f t="shared" si="1"/>
        <v>1</v>
      </c>
      <c r="D68">
        <v>1603.1399999999999</v>
      </c>
      <c r="I68" s="4"/>
      <c r="J68" s="4"/>
      <c r="K68" s="4"/>
    </row>
    <row r="69" spans="3:11" x14ac:dyDescent="0.25">
      <c r="C69">
        <f t="shared" ref="C69:C132" si="2">MONTH(A69)</f>
        <v>1</v>
      </c>
      <c r="D69">
        <v>1158.94</v>
      </c>
      <c r="I69" s="4"/>
      <c r="J69" s="4"/>
      <c r="K69" s="4"/>
    </row>
    <row r="70" spans="3:11" x14ac:dyDescent="0.25">
      <c r="C70">
        <f t="shared" si="2"/>
        <v>1</v>
      </c>
      <c r="D70">
        <v>966.3</v>
      </c>
      <c r="I70" s="4"/>
      <c r="J70" s="4"/>
      <c r="K70" s="4"/>
    </row>
    <row r="71" spans="3:11" x14ac:dyDescent="0.25">
      <c r="C71">
        <f t="shared" si="2"/>
        <v>1</v>
      </c>
      <c r="D71">
        <v>917.48</v>
      </c>
      <c r="I71" s="4"/>
      <c r="J71" s="4"/>
      <c r="K71" s="4"/>
    </row>
    <row r="72" spans="3:11" x14ac:dyDescent="0.25">
      <c r="C72">
        <f t="shared" si="2"/>
        <v>1</v>
      </c>
      <c r="D72">
        <v>2378.79</v>
      </c>
      <c r="I72" s="4"/>
      <c r="J72" s="4"/>
      <c r="K72" s="4"/>
    </row>
    <row r="73" spans="3:11" x14ac:dyDescent="0.25">
      <c r="C73">
        <f t="shared" si="2"/>
        <v>1</v>
      </c>
      <c r="D73">
        <v>1729.12</v>
      </c>
      <c r="I73" s="4"/>
      <c r="J73" s="4"/>
      <c r="K73" s="4"/>
    </row>
    <row r="74" spans="3:11" x14ac:dyDescent="0.25">
      <c r="C74">
        <f t="shared" si="2"/>
        <v>1</v>
      </c>
      <c r="D74">
        <v>1576.16</v>
      </c>
      <c r="I74" s="4"/>
      <c r="J74" s="4"/>
      <c r="K74" s="4"/>
    </row>
    <row r="75" spans="3:11" x14ac:dyDescent="0.25">
      <c r="C75">
        <f t="shared" si="2"/>
        <v>1</v>
      </c>
      <c r="D75">
        <v>1014.09</v>
      </c>
      <c r="I75" s="4"/>
      <c r="J75" s="4"/>
      <c r="K75" s="4"/>
    </row>
    <row r="76" spans="3:11" x14ac:dyDescent="0.25">
      <c r="C76">
        <f t="shared" si="2"/>
        <v>1</v>
      </c>
      <c r="D76">
        <v>925.29</v>
      </c>
      <c r="I76" s="4"/>
      <c r="J76" s="4"/>
      <c r="K76" s="4"/>
    </row>
    <row r="77" spans="3:11" x14ac:dyDescent="0.25">
      <c r="C77">
        <f t="shared" si="2"/>
        <v>1</v>
      </c>
      <c r="D77">
        <v>1286.54</v>
      </c>
      <c r="I77" s="4"/>
      <c r="J77" s="4"/>
      <c r="K77" s="4"/>
    </row>
    <row r="78" spans="3:11" x14ac:dyDescent="0.25">
      <c r="C78">
        <f t="shared" si="2"/>
        <v>1</v>
      </c>
      <c r="D78">
        <v>2042.7600000000002</v>
      </c>
      <c r="I78" s="4"/>
      <c r="J78" s="4"/>
      <c r="K78" s="4"/>
    </row>
    <row r="79" spans="3:11" x14ac:dyDescent="0.25">
      <c r="C79">
        <f t="shared" si="2"/>
        <v>1</v>
      </c>
      <c r="D79">
        <v>1923.66</v>
      </c>
      <c r="I79" s="4"/>
      <c r="J79" s="4"/>
      <c r="K79" s="4"/>
    </row>
    <row r="80" spans="3:11" x14ac:dyDescent="0.25">
      <c r="C80">
        <f t="shared" si="2"/>
        <v>1</v>
      </c>
      <c r="D80">
        <v>2030.6000000000001</v>
      </c>
      <c r="I80" s="4"/>
      <c r="J80" s="4"/>
      <c r="K80" s="4"/>
    </row>
    <row r="81" spans="3:11" x14ac:dyDescent="0.25">
      <c r="C81">
        <f t="shared" si="2"/>
        <v>1</v>
      </c>
      <c r="D81">
        <v>980.18</v>
      </c>
      <c r="I81" s="4"/>
      <c r="J81" s="4"/>
      <c r="K81" s="4"/>
    </row>
    <row r="82" spans="3:11" x14ac:dyDescent="0.25">
      <c r="C82">
        <f t="shared" si="2"/>
        <v>1</v>
      </c>
      <c r="D82">
        <v>1891.1799999999998</v>
      </c>
      <c r="I82" s="4"/>
      <c r="J82" s="4"/>
      <c r="K82" s="4"/>
    </row>
    <row r="83" spans="3:11" x14ac:dyDescent="0.25">
      <c r="C83">
        <f t="shared" si="2"/>
        <v>1</v>
      </c>
      <c r="D83">
        <v>771.02</v>
      </c>
      <c r="I83" s="4"/>
      <c r="J83" s="4"/>
      <c r="K83" s="4"/>
    </row>
    <row r="84" spans="3:11" x14ac:dyDescent="0.25">
      <c r="C84">
        <f t="shared" si="2"/>
        <v>1</v>
      </c>
      <c r="D84">
        <v>661.09</v>
      </c>
      <c r="I84" s="4"/>
      <c r="J84" s="4"/>
      <c r="K84" s="4"/>
    </row>
    <row r="85" spans="3:11" x14ac:dyDescent="0.25">
      <c r="C85">
        <f t="shared" si="2"/>
        <v>1</v>
      </c>
      <c r="D85">
        <v>688.83</v>
      </c>
      <c r="I85" s="4"/>
      <c r="J85" s="4"/>
      <c r="K85" s="4"/>
    </row>
    <row r="86" spans="3:11" x14ac:dyDescent="0.25">
      <c r="C86">
        <f t="shared" si="2"/>
        <v>1</v>
      </c>
      <c r="D86">
        <v>1249.0999999999999</v>
      </c>
      <c r="I86" s="4"/>
      <c r="J86" s="4"/>
      <c r="K86" s="4"/>
    </row>
    <row r="87" spans="3:11" x14ac:dyDescent="0.25">
      <c r="C87">
        <f t="shared" si="2"/>
        <v>1</v>
      </c>
      <c r="D87">
        <v>1014.22</v>
      </c>
      <c r="I87" s="4"/>
      <c r="J87" s="4"/>
      <c r="K87" s="4"/>
    </row>
    <row r="88" spans="3:11" x14ac:dyDescent="0.25">
      <c r="C88">
        <f t="shared" si="2"/>
        <v>1</v>
      </c>
      <c r="D88">
        <v>1967.87</v>
      </c>
      <c r="I88" s="4"/>
      <c r="J88" s="4"/>
      <c r="K88" s="4"/>
    </row>
    <row r="89" spans="3:11" x14ac:dyDescent="0.25">
      <c r="C89">
        <f t="shared" si="2"/>
        <v>1</v>
      </c>
      <c r="D89">
        <v>1077.92</v>
      </c>
      <c r="I89" s="4"/>
      <c r="J89" s="4"/>
      <c r="K89" s="4"/>
    </row>
    <row r="90" spans="3:11" x14ac:dyDescent="0.25">
      <c r="C90">
        <f t="shared" si="2"/>
        <v>1</v>
      </c>
      <c r="D90">
        <v>1163.01</v>
      </c>
      <c r="I90" s="4"/>
      <c r="J90" s="4"/>
      <c r="K90" s="4"/>
    </row>
    <row r="91" spans="3:11" x14ac:dyDescent="0.25">
      <c r="C91">
        <f t="shared" si="2"/>
        <v>1</v>
      </c>
      <c r="D91">
        <v>1014.56</v>
      </c>
      <c r="I91" s="4"/>
      <c r="J91" s="4"/>
      <c r="K91" s="4"/>
    </row>
    <row r="92" spans="3:11" x14ac:dyDescent="0.25">
      <c r="C92">
        <f t="shared" si="2"/>
        <v>1</v>
      </c>
      <c r="D92">
        <v>2702.62</v>
      </c>
      <c r="I92" s="4"/>
      <c r="J92" s="4"/>
      <c r="K92" s="4"/>
    </row>
    <row r="93" spans="3:11" x14ac:dyDescent="0.25">
      <c r="C93">
        <f t="shared" si="2"/>
        <v>1</v>
      </c>
      <c r="D93">
        <v>3680.1</v>
      </c>
      <c r="I93" s="4"/>
      <c r="J93" s="4"/>
      <c r="K93" s="4"/>
    </row>
    <row r="94" spans="3:11" x14ac:dyDescent="0.25">
      <c r="C94">
        <f t="shared" si="2"/>
        <v>1</v>
      </c>
      <c r="D94">
        <v>1471.99</v>
      </c>
      <c r="I94" s="4"/>
      <c r="J94" s="4"/>
      <c r="K94" s="4"/>
    </row>
    <row r="95" spans="3:11" x14ac:dyDescent="0.25">
      <c r="C95">
        <f t="shared" si="2"/>
        <v>1</v>
      </c>
      <c r="D95">
        <v>2004.1399999999999</v>
      </c>
      <c r="I95" s="4"/>
      <c r="J95" s="4"/>
      <c r="K95" s="4"/>
    </row>
    <row r="96" spans="3:11" x14ac:dyDescent="0.25">
      <c r="C96">
        <f t="shared" si="2"/>
        <v>1</v>
      </c>
      <c r="D96">
        <v>1061.04</v>
      </c>
      <c r="I96" s="4"/>
      <c r="J96" s="4"/>
      <c r="K96" s="4"/>
    </row>
    <row r="97" spans="3:11" x14ac:dyDescent="0.25">
      <c r="C97">
        <f t="shared" si="2"/>
        <v>1</v>
      </c>
      <c r="D97">
        <v>894.55</v>
      </c>
      <c r="I97" s="4"/>
      <c r="J97" s="4"/>
      <c r="K97" s="4"/>
    </row>
    <row r="98" spans="3:11" x14ac:dyDescent="0.25">
      <c r="C98">
        <f t="shared" si="2"/>
        <v>1</v>
      </c>
      <c r="D98">
        <v>833.91</v>
      </c>
      <c r="I98" s="4"/>
      <c r="J98" s="4"/>
      <c r="K98" s="4"/>
    </row>
    <row r="99" spans="3:11" x14ac:dyDescent="0.25">
      <c r="C99">
        <f t="shared" si="2"/>
        <v>1</v>
      </c>
      <c r="D99">
        <v>820.19</v>
      </c>
      <c r="I99" s="4"/>
      <c r="J99" s="4"/>
      <c r="K99" s="4"/>
    </row>
    <row r="100" spans="3:11" x14ac:dyDescent="0.25">
      <c r="C100">
        <f t="shared" si="2"/>
        <v>1</v>
      </c>
      <c r="D100">
        <v>511.74</v>
      </c>
      <c r="I100" s="4"/>
      <c r="J100" s="4"/>
      <c r="K100" s="4"/>
    </row>
    <row r="101" spans="3:11" x14ac:dyDescent="0.25">
      <c r="C101">
        <f t="shared" si="2"/>
        <v>1</v>
      </c>
      <c r="D101">
        <v>806.03</v>
      </c>
      <c r="I101" s="4"/>
      <c r="J101" s="4"/>
      <c r="K101" s="4"/>
    </row>
    <row r="102" spans="3:11" x14ac:dyDescent="0.25">
      <c r="C102">
        <f t="shared" si="2"/>
        <v>1</v>
      </c>
      <c r="D102">
        <v>2921.05</v>
      </c>
      <c r="I102" s="4"/>
      <c r="J102" s="4"/>
      <c r="K102" s="4"/>
    </row>
    <row r="103" spans="3:11" x14ac:dyDescent="0.25">
      <c r="C103">
        <f t="shared" si="2"/>
        <v>1</v>
      </c>
      <c r="D103">
        <v>1231.26</v>
      </c>
      <c r="I103" s="4"/>
      <c r="J103" s="4"/>
      <c r="K103" s="4"/>
    </row>
    <row r="104" spans="3:11" x14ac:dyDescent="0.25">
      <c r="C104">
        <f t="shared" si="2"/>
        <v>1</v>
      </c>
      <c r="D104">
        <v>1161.67</v>
      </c>
      <c r="I104" s="4"/>
      <c r="J104" s="4"/>
      <c r="K104" s="4"/>
    </row>
    <row r="105" spans="3:11" x14ac:dyDescent="0.25">
      <c r="C105">
        <f t="shared" si="2"/>
        <v>1</v>
      </c>
      <c r="D105">
        <v>388.23</v>
      </c>
      <c r="I105" s="4"/>
      <c r="J105" s="4"/>
      <c r="K105" s="4"/>
    </row>
    <row r="106" spans="3:11" x14ac:dyDescent="0.25">
      <c r="C106">
        <f t="shared" si="2"/>
        <v>1</v>
      </c>
      <c r="D106">
        <v>1926.0800000000002</v>
      </c>
      <c r="I106" s="4"/>
      <c r="J106" s="4"/>
      <c r="K106" s="4"/>
    </row>
    <row r="107" spans="3:11" x14ac:dyDescent="0.25">
      <c r="C107">
        <f t="shared" si="2"/>
        <v>1</v>
      </c>
      <c r="D107">
        <v>1353.79</v>
      </c>
      <c r="I107" s="4"/>
      <c r="J107" s="4"/>
      <c r="K107" s="4"/>
    </row>
    <row r="108" spans="3:11" x14ac:dyDescent="0.25">
      <c r="C108">
        <f t="shared" si="2"/>
        <v>1</v>
      </c>
      <c r="D108">
        <v>972.03</v>
      </c>
      <c r="I108" s="4"/>
      <c r="J108" s="4"/>
      <c r="K108" s="4"/>
    </row>
    <row r="109" spans="3:11" x14ac:dyDescent="0.25">
      <c r="C109">
        <f t="shared" si="2"/>
        <v>1</v>
      </c>
      <c r="D109">
        <v>884.63</v>
      </c>
      <c r="I109" s="4"/>
      <c r="J109" s="4"/>
      <c r="K109" s="4"/>
    </row>
    <row r="110" spans="3:11" x14ac:dyDescent="0.25">
      <c r="C110">
        <f t="shared" si="2"/>
        <v>1</v>
      </c>
      <c r="D110">
        <v>1615.28</v>
      </c>
      <c r="I110" s="4"/>
      <c r="J110" s="4"/>
      <c r="K110" s="4"/>
    </row>
    <row r="111" spans="3:11" x14ac:dyDescent="0.25">
      <c r="C111">
        <f t="shared" si="2"/>
        <v>1</v>
      </c>
      <c r="D111">
        <v>862.19</v>
      </c>
      <c r="I111" s="4"/>
      <c r="J111" s="4"/>
      <c r="K111" s="4"/>
    </row>
    <row r="112" spans="3:11" x14ac:dyDescent="0.25">
      <c r="C112">
        <f t="shared" si="2"/>
        <v>1</v>
      </c>
      <c r="D112">
        <v>1171.18</v>
      </c>
      <c r="I112" s="4"/>
      <c r="J112" s="4"/>
      <c r="K112" s="4"/>
    </row>
    <row r="113" spans="3:11" x14ac:dyDescent="0.25">
      <c r="C113">
        <f t="shared" si="2"/>
        <v>1</v>
      </c>
      <c r="D113">
        <v>1054.56</v>
      </c>
      <c r="I113" s="4"/>
      <c r="J113" s="4"/>
      <c r="K113" s="4"/>
    </row>
    <row r="114" spans="3:11" x14ac:dyDescent="0.25">
      <c r="C114">
        <f t="shared" si="2"/>
        <v>1</v>
      </c>
      <c r="D114">
        <v>1681.21</v>
      </c>
      <c r="I114" s="4"/>
      <c r="J114" s="4"/>
      <c r="K114" s="4"/>
    </row>
    <row r="115" spans="3:11" x14ac:dyDescent="0.25">
      <c r="C115">
        <f t="shared" si="2"/>
        <v>1</v>
      </c>
      <c r="D115">
        <v>379.77</v>
      </c>
      <c r="I115" s="4"/>
      <c r="J115" s="4"/>
      <c r="K115" s="4"/>
    </row>
    <row r="116" spans="3:11" x14ac:dyDescent="0.25">
      <c r="C116">
        <f t="shared" si="2"/>
        <v>1</v>
      </c>
      <c r="D116">
        <v>3445.38</v>
      </c>
      <c r="I116" s="4"/>
      <c r="J116" s="4"/>
      <c r="K116" s="4"/>
    </row>
    <row r="117" spans="3:11" x14ac:dyDescent="0.25">
      <c r="C117">
        <f t="shared" si="2"/>
        <v>1</v>
      </c>
      <c r="D117">
        <v>1622.62</v>
      </c>
      <c r="I117" s="4"/>
      <c r="J117" s="4"/>
      <c r="K117" s="4"/>
    </row>
    <row r="118" spans="3:11" x14ac:dyDescent="0.25">
      <c r="C118">
        <f t="shared" si="2"/>
        <v>1</v>
      </c>
      <c r="D118">
        <v>640.64</v>
      </c>
      <c r="I118" s="4"/>
      <c r="J118" s="4"/>
      <c r="K118" s="4"/>
    </row>
    <row r="119" spans="3:11" x14ac:dyDescent="0.25">
      <c r="C119">
        <f t="shared" si="2"/>
        <v>1</v>
      </c>
      <c r="D119">
        <v>585.16</v>
      </c>
      <c r="I119" s="4"/>
      <c r="J119" s="4"/>
      <c r="K119" s="4"/>
    </row>
    <row r="120" spans="3:11" x14ac:dyDescent="0.25">
      <c r="C120">
        <f t="shared" si="2"/>
        <v>1</v>
      </c>
      <c r="D120">
        <v>1109.98</v>
      </c>
      <c r="I120" s="4"/>
      <c r="J120" s="4"/>
      <c r="K120" s="4"/>
    </row>
    <row r="121" spans="3:11" x14ac:dyDescent="0.25">
      <c r="C121">
        <f t="shared" si="2"/>
        <v>1</v>
      </c>
      <c r="D121">
        <v>1098.08</v>
      </c>
      <c r="I121" s="4"/>
      <c r="J121" s="4"/>
      <c r="K121" s="4"/>
    </row>
    <row r="122" spans="3:11" x14ac:dyDescent="0.25">
      <c r="C122">
        <f t="shared" si="2"/>
        <v>1</v>
      </c>
      <c r="D122">
        <v>827.25</v>
      </c>
      <c r="I122" s="4"/>
      <c r="J122" s="4"/>
      <c r="K122" s="4"/>
    </row>
    <row r="123" spans="3:11" x14ac:dyDescent="0.25">
      <c r="C123">
        <f t="shared" si="2"/>
        <v>1</v>
      </c>
      <c r="D123">
        <v>741.88</v>
      </c>
      <c r="I123" s="4"/>
      <c r="J123" s="4"/>
      <c r="K123" s="4"/>
    </row>
    <row r="124" spans="3:11" x14ac:dyDescent="0.25">
      <c r="C124">
        <f t="shared" si="2"/>
        <v>1</v>
      </c>
      <c r="D124">
        <v>1311.26</v>
      </c>
      <c r="I124" s="4"/>
      <c r="J124" s="4"/>
      <c r="K124" s="4"/>
    </row>
    <row r="125" spans="3:11" x14ac:dyDescent="0.25">
      <c r="C125">
        <f t="shared" si="2"/>
        <v>1</v>
      </c>
      <c r="D125">
        <v>573.32000000000005</v>
      </c>
      <c r="I125" s="4"/>
      <c r="J125" s="4"/>
      <c r="K125" s="4"/>
    </row>
    <row r="126" spans="3:11" x14ac:dyDescent="0.25">
      <c r="C126">
        <f t="shared" si="2"/>
        <v>1</v>
      </c>
      <c r="D126">
        <v>1115.22</v>
      </c>
      <c r="I126" s="4"/>
      <c r="J126" s="4"/>
      <c r="K126" s="4"/>
    </row>
    <row r="127" spans="3:11" x14ac:dyDescent="0.25">
      <c r="C127">
        <f t="shared" si="2"/>
        <v>1</v>
      </c>
      <c r="D127">
        <v>845.84</v>
      </c>
      <c r="I127" s="4"/>
      <c r="J127" s="4"/>
      <c r="K127" s="4"/>
    </row>
    <row r="128" spans="3:11" x14ac:dyDescent="0.25">
      <c r="C128">
        <f t="shared" si="2"/>
        <v>1</v>
      </c>
      <c r="D128">
        <v>1029.8</v>
      </c>
      <c r="I128" s="4"/>
      <c r="J128" s="4"/>
      <c r="K128" s="4"/>
    </row>
    <row r="129" spans="3:11" x14ac:dyDescent="0.25">
      <c r="C129">
        <f t="shared" si="2"/>
        <v>1</v>
      </c>
      <c r="D129">
        <v>1189.83</v>
      </c>
      <c r="I129" s="4"/>
      <c r="J129" s="4"/>
      <c r="K129" s="4"/>
    </row>
    <row r="130" spans="3:11" x14ac:dyDescent="0.25">
      <c r="C130">
        <f t="shared" si="2"/>
        <v>1</v>
      </c>
      <c r="D130">
        <v>2322.5</v>
      </c>
      <c r="I130" s="4"/>
      <c r="J130" s="4"/>
      <c r="K130" s="4"/>
    </row>
    <row r="131" spans="3:11" x14ac:dyDescent="0.25">
      <c r="C131">
        <f t="shared" si="2"/>
        <v>1</v>
      </c>
      <c r="D131">
        <v>1014.43</v>
      </c>
      <c r="I131" s="4"/>
      <c r="J131" s="4"/>
      <c r="K131" s="4"/>
    </row>
    <row r="132" spans="3:11" x14ac:dyDescent="0.25">
      <c r="C132">
        <f t="shared" si="2"/>
        <v>1</v>
      </c>
      <c r="D132">
        <v>826.97</v>
      </c>
      <c r="I132" s="4"/>
      <c r="J132" s="4"/>
      <c r="K132" s="4"/>
    </row>
    <row r="133" spans="3:11" x14ac:dyDescent="0.25">
      <c r="C133">
        <f t="shared" ref="C133:C151" si="3">MONTH(A133)</f>
        <v>1</v>
      </c>
      <c r="D133">
        <v>1022.23</v>
      </c>
      <c r="I133" s="4"/>
      <c r="J133" s="4"/>
      <c r="K133" s="4"/>
    </row>
    <row r="134" spans="3:11" x14ac:dyDescent="0.25">
      <c r="C134">
        <f t="shared" si="3"/>
        <v>1</v>
      </c>
      <c r="D134">
        <v>1099.69</v>
      </c>
      <c r="I134" s="4"/>
      <c r="J134" s="4"/>
      <c r="K134" s="4"/>
    </row>
    <row r="135" spans="3:11" x14ac:dyDescent="0.25">
      <c r="C135">
        <f t="shared" si="3"/>
        <v>1</v>
      </c>
      <c r="D135">
        <v>710.52</v>
      </c>
      <c r="I135" s="4"/>
      <c r="J135" s="4"/>
      <c r="K135" s="4"/>
    </row>
    <row r="136" spans="3:11" x14ac:dyDescent="0.25">
      <c r="C136">
        <f t="shared" si="3"/>
        <v>1</v>
      </c>
      <c r="D136">
        <v>499.18</v>
      </c>
      <c r="I136" s="4"/>
      <c r="J136" s="4"/>
      <c r="K136" s="4"/>
    </row>
    <row r="137" spans="3:11" x14ac:dyDescent="0.25">
      <c r="C137">
        <f t="shared" si="3"/>
        <v>1</v>
      </c>
      <c r="D137">
        <v>1064.19</v>
      </c>
      <c r="I137" s="4"/>
      <c r="J137" s="4"/>
      <c r="K137" s="4"/>
    </row>
    <row r="138" spans="3:11" x14ac:dyDescent="0.25">
      <c r="C138">
        <f t="shared" si="3"/>
        <v>1</v>
      </c>
      <c r="D138">
        <v>438.76</v>
      </c>
      <c r="I138" s="4"/>
      <c r="J138" s="4"/>
      <c r="K138" s="4"/>
    </row>
    <row r="139" spans="3:11" x14ac:dyDescent="0.25">
      <c r="C139">
        <f t="shared" si="3"/>
        <v>1</v>
      </c>
      <c r="D139">
        <v>864.98</v>
      </c>
      <c r="I139" s="4"/>
      <c r="J139" s="4"/>
      <c r="K139" s="4"/>
    </row>
    <row r="140" spans="3:11" x14ac:dyDescent="0.25">
      <c r="C140">
        <f t="shared" si="3"/>
        <v>1</v>
      </c>
      <c r="D140">
        <v>984.93</v>
      </c>
      <c r="I140" s="4"/>
      <c r="J140" s="4"/>
      <c r="K140" s="4"/>
    </row>
    <row r="141" spans="3:11" x14ac:dyDescent="0.25">
      <c r="C141">
        <f t="shared" si="3"/>
        <v>1</v>
      </c>
      <c r="D141">
        <v>1493.49</v>
      </c>
      <c r="I141" s="4"/>
      <c r="J141" s="4"/>
      <c r="K141" s="4"/>
    </row>
    <row r="142" spans="3:11" x14ac:dyDescent="0.25">
      <c r="C142">
        <f t="shared" si="3"/>
        <v>1</v>
      </c>
      <c r="D142">
        <v>689.43</v>
      </c>
      <c r="I142" s="4"/>
      <c r="J142" s="4"/>
      <c r="K142" s="4"/>
    </row>
    <row r="143" spans="3:11" x14ac:dyDescent="0.25">
      <c r="C143">
        <f t="shared" si="3"/>
        <v>1</v>
      </c>
      <c r="D143">
        <v>682.24</v>
      </c>
      <c r="I143" s="4"/>
      <c r="J143" s="4"/>
      <c r="K143" s="4"/>
    </row>
    <row r="144" spans="3:11" x14ac:dyDescent="0.25">
      <c r="C144">
        <f t="shared" si="3"/>
        <v>1</v>
      </c>
      <c r="D144">
        <v>458.54</v>
      </c>
      <c r="I144" s="4"/>
      <c r="J144" s="4"/>
      <c r="K144" s="4"/>
    </row>
    <row r="145" spans="3:11" x14ac:dyDescent="0.25">
      <c r="C145">
        <f t="shared" si="3"/>
        <v>1</v>
      </c>
      <c r="D145">
        <v>1184.25</v>
      </c>
      <c r="I145" s="4"/>
      <c r="J145" s="4"/>
      <c r="K145" s="4"/>
    </row>
    <row r="146" spans="3:11" x14ac:dyDescent="0.25">
      <c r="C146">
        <f t="shared" si="3"/>
        <v>1</v>
      </c>
      <c r="D146">
        <v>1512.85</v>
      </c>
      <c r="I146" s="4"/>
      <c r="J146" s="4"/>
      <c r="K146" s="4"/>
    </row>
    <row r="147" spans="3:11" x14ac:dyDescent="0.25">
      <c r="C147">
        <f t="shared" si="3"/>
        <v>1</v>
      </c>
      <c r="D147">
        <v>2550.3200000000002</v>
      </c>
      <c r="I147" s="4"/>
      <c r="J147" s="4"/>
      <c r="K147" s="4"/>
    </row>
    <row r="148" spans="3:11" x14ac:dyDescent="0.25">
      <c r="C148">
        <f t="shared" si="3"/>
        <v>1</v>
      </c>
      <c r="D148">
        <v>2399.62</v>
      </c>
      <c r="I148" s="4"/>
      <c r="J148" s="4"/>
      <c r="K148" s="4"/>
    </row>
    <row r="149" spans="3:11" x14ac:dyDescent="0.25">
      <c r="C149">
        <f t="shared" si="3"/>
        <v>1</v>
      </c>
      <c r="D149">
        <v>740.8</v>
      </c>
      <c r="I149" s="4"/>
      <c r="J149" s="4"/>
      <c r="K149" s="4"/>
    </row>
    <row r="150" spans="3:11" x14ac:dyDescent="0.25">
      <c r="C150">
        <f t="shared" si="3"/>
        <v>1</v>
      </c>
      <c r="D150">
        <v>1543.0500000000002</v>
      </c>
      <c r="I150" s="4"/>
      <c r="J150" s="4"/>
      <c r="K150" s="4"/>
    </row>
    <row r="151" spans="3:11" x14ac:dyDescent="0.25">
      <c r="C151">
        <f t="shared" si="3"/>
        <v>1</v>
      </c>
      <c r="D151">
        <v>928.32</v>
      </c>
      <c r="I151" s="4"/>
      <c r="J151" s="4"/>
      <c r="K151" s="4"/>
    </row>
    <row r="152" spans="3:11" x14ac:dyDescent="0.25">
      <c r="I152" s="4"/>
      <c r="J152" s="4"/>
      <c r="K152" s="4"/>
    </row>
    <row r="153" spans="3:11" x14ac:dyDescent="0.25">
      <c r="I153" s="4"/>
      <c r="J153" s="4"/>
      <c r="K153" s="4"/>
    </row>
    <row r="154" spans="3:11" x14ac:dyDescent="0.25">
      <c r="I154" s="4"/>
      <c r="J154" s="4"/>
      <c r="K154" s="4"/>
    </row>
    <row r="155" spans="3:11" x14ac:dyDescent="0.25">
      <c r="I155" s="4"/>
      <c r="J155" s="4"/>
      <c r="K155" s="4"/>
    </row>
    <row r="156" spans="3:11" x14ac:dyDescent="0.25">
      <c r="I156" s="4"/>
      <c r="J156" s="4"/>
      <c r="K156" s="4"/>
    </row>
    <row r="157" spans="3:11" x14ac:dyDescent="0.25">
      <c r="I157" s="4"/>
      <c r="J157" s="4"/>
      <c r="K157" s="4"/>
    </row>
    <row r="158" spans="3:11" x14ac:dyDescent="0.25">
      <c r="I158" s="4"/>
      <c r="J158" s="4"/>
      <c r="K158" s="4"/>
    </row>
    <row r="159" spans="3:11" x14ac:dyDescent="0.25">
      <c r="I159" s="4"/>
      <c r="J159" s="4"/>
      <c r="K159" s="4"/>
    </row>
    <row r="160" spans="3:11" x14ac:dyDescent="0.25">
      <c r="I160" s="4"/>
      <c r="J160" s="4"/>
      <c r="K160" s="4"/>
    </row>
    <row r="161" spans="9:11" x14ac:dyDescent="0.25">
      <c r="I161" s="4"/>
      <c r="J161" s="4"/>
      <c r="K161" s="4"/>
    </row>
    <row r="162" spans="9:11" x14ac:dyDescent="0.25">
      <c r="I162" s="4"/>
      <c r="J162" s="4"/>
      <c r="K162" s="4"/>
    </row>
    <row r="163" spans="9:11" x14ac:dyDescent="0.25">
      <c r="I163" s="4"/>
      <c r="J163" s="4"/>
      <c r="K163" s="4"/>
    </row>
    <row r="164" spans="9:11" x14ac:dyDescent="0.25">
      <c r="I164" s="4"/>
      <c r="J164" s="4"/>
      <c r="K164" s="4"/>
    </row>
    <row r="165" spans="9:11" x14ac:dyDescent="0.25">
      <c r="I165" s="4"/>
      <c r="J165" s="4"/>
      <c r="K165" s="4"/>
    </row>
    <row r="166" spans="9:11" x14ac:dyDescent="0.25">
      <c r="I166" s="4"/>
      <c r="J166" s="4"/>
      <c r="K166" s="4"/>
    </row>
    <row r="167" spans="9:11" x14ac:dyDescent="0.25">
      <c r="I167" s="4"/>
      <c r="J167" s="4"/>
      <c r="K167" s="4"/>
    </row>
    <row r="168" spans="9:11" x14ac:dyDescent="0.25">
      <c r="I168" s="4"/>
      <c r="J168" s="4"/>
      <c r="K168" s="4"/>
    </row>
    <row r="169" spans="9:11" x14ac:dyDescent="0.25">
      <c r="I169" s="4"/>
      <c r="J169" s="4"/>
      <c r="K169" s="4"/>
    </row>
    <row r="170" spans="9:11" x14ac:dyDescent="0.25">
      <c r="I170" s="4"/>
      <c r="J170" s="4"/>
      <c r="K170" s="4"/>
    </row>
    <row r="171" spans="9:11" x14ac:dyDescent="0.25">
      <c r="I171" s="4"/>
      <c r="J171" s="4"/>
      <c r="K171" s="4"/>
    </row>
    <row r="172" spans="9:11" x14ac:dyDescent="0.25">
      <c r="I172" s="4"/>
      <c r="J172" s="4"/>
      <c r="K172" s="4"/>
    </row>
    <row r="173" spans="9:11" x14ac:dyDescent="0.25">
      <c r="I173" s="4"/>
      <c r="J173" s="4"/>
      <c r="K173" s="4"/>
    </row>
    <row r="174" spans="9:11" x14ac:dyDescent="0.25">
      <c r="I174" s="4"/>
      <c r="J174" s="4"/>
      <c r="K174" s="4"/>
    </row>
    <row r="175" spans="9:11" x14ac:dyDescent="0.25">
      <c r="I175" s="4"/>
      <c r="J175" s="4"/>
      <c r="K175" s="4"/>
    </row>
    <row r="176" spans="9:11" x14ac:dyDescent="0.25">
      <c r="I176" s="4"/>
      <c r="J176" s="4"/>
      <c r="K176" s="4"/>
    </row>
    <row r="177" spans="9:11" x14ac:dyDescent="0.25">
      <c r="I177" s="4"/>
      <c r="J177" s="4"/>
      <c r="K177" s="4"/>
    </row>
    <row r="178" spans="9:11" x14ac:dyDescent="0.25">
      <c r="I178" s="4"/>
      <c r="J178" s="4"/>
      <c r="K178" s="4"/>
    </row>
    <row r="179" spans="9:11" x14ac:dyDescent="0.25">
      <c r="I179" s="4"/>
      <c r="J179" s="4"/>
      <c r="K179" s="4"/>
    </row>
    <row r="180" spans="9:11" x14ac:dyDescent="0.25">
      <c r="I180" s="4"/>
      <c r="J180" s="4"/>
      <c r="K180" s="4"/>
    </row>
    <row r="181" spans="9:11" x14ac:dyDescent="0.25">
      <c r="I181" s="4"/>
      <c r="J181" s="4"/>
      <c r="K181" s="4"/>
    </row>
    <row r="182" spans="9:11" x14ac:dyDescent="0.25">
      <c r="I182" s="4"/>
      <c r="J182" s="4"/>
      <c r="K182" s="4"/>
    </row>
    <row r="183" spans="9:11" x14ac:dyDescent="0.25">
      <c r="I183" s="4"/>
      <c r="J183" s="4"/>
      <c r="K183" s="4"/>
    </row>
    <row r="184" spans="9:11" x14ac:dyDescent="0.25">
      <c r="I184" s="4"/>
      <c r="J184" s="4"/>
      <c r="K184" s="4"/>
    </row>
    <row r="185" spans="9:11" x14ac:dyDescent="0.25">
      <c r="I185" s="4"/>
      <c r="J185" s="4"/>
      <c r="K185" s="4"/>
    </row>
    <row r="186" spans="9:11" x14ac:dyDescent="0.25">
      <c r="I186" s="4"/>
      <c r="J186" s="4"/>
      <c r="K186" s="4"/>
    </row>
    <row r="187" spans="9:11" x14ac:dyDescent="0.25">
      <c r="I187" s="4"/>
      <c r="J187" s="4"/>
      <c r="K187" s="4"/>
    </row>
    <row r="188" spans="9:11" x14ac:dyDescent="0.25">
      <c r="I188" s="4"/>
      <c r="J188" s="4"/>
      <c r="K188" s="4"/>
    </row>
    <row r="189" spans="9:11" x14ac:dyDescent="0.25">
      <c r="I189" s="4"/>
      <c r="J189" s="4"/>
      <c r="K189" s="4"/>
    </row>
    <row r="190" spans="9:11" x14ac:dyDescent="0.25">
      <c r="I190" s="4"/>
      <c r="J190" s="4"/>
      <c r="K190" s="4"/>
    </row>
    <row r="191" spans="9:11" x14ac:dyDescent="0.25">
      <c r="I191" s="4"/>
      <c r="J191" s="4"/>
      <c r="K191" s="4"/>
    </row>
    <row r="192" spans="9:11" x14ac:dyDescent="0.25">
      <c r="I192" s="4"/>
      <c r="J192" s="4"/>
      <c r="K192" s="4"/>
    </row>
    <row r="193" spans="9:11" x14ac:dyDescent="0.25">
      <c r="I193" s="4"/>
      <c r="J193" s="4"/>
      <c r="K193" s="4"/>
    </row>
    <row r="194" spans="9:11" x14ac:dyDescent="0.25">
      <c r="I194" s="4"/>
      <c r="J194" s="4"/>
      <c r="K194" s="4"/>
    </row>
    <row r="195" spans="9:11" x14ac:dyDescent="0.25">
      <c r="I195" s="4"/>
      <c r="J195" s="4"/>
      <c r="K195" s="4"/>
    </row>
    <row r="196" spans="9:11" x14ac:dyDescent="0.25">
      <c r="I196" s="4"/>
      <c r="J196" s="4"/>
      <c r="K196" s="4"/>
    </row>
    <row r="197" spans="9:11" x14ac:dyDescent="0.25">
      <c r="I197" s="4"/>
      <c r="J197" s="4"/>
      <c r="K197" s="4"/>
    </row>
    <row r="198" spans="9:11" x14ac:dyDescent="0.25">
      <c r="I198" s="4"/>
      <c r="J198" s="4"/>
      <c r="K198" s="4"/>
    </row>
    <row r="199" spans="9:11" x14ac:dyDescent="0.25">
      <c r="I199" s="4"/>
      <c r="J199" s="4"/>
      <c r="K199" s="4"/>
    </row>
    <row r="200" spans="9:11" x14ac:dyDescent="0.25">
      <c r="I200" s="4"/>
      <c r="J200" s="4"/>
      <c r="K200" s="4"/>
    </row>
    <row r="201" spans="9:11" ht="15.75" thickBot="1" x14ac:dyDescent="0.3">
      <c r="I201" s="4"/>
      <c r="J201" s="4"/>
      <c r="K201" s="4"/>
    </row>
    <row r="202" spans="9:11" x14ac:dyDescent="0.25">
      <c r="I202" s="12"/>
      <c r="K202" s="4"/>
    </row>
    <row r="203" spans="9:11" x14ac:dyDescent="0.25">
      <c r="I203" s="13"/>
      <c r="K203" s="4"/>
    </row>
    <row r="204" spans="9:11" x14ac:dyDescent="0.25">
      <c r="I204" s="13"/>
      <c r="K204" s="4"/>
    </row>
    <row r="205" spans="9:11" x14ac:dyDescent="0.25">
      <c r="I205" s="13"/>
      <c r="K205" s="4"/>
    </row>
    <row r="206" spans="9:11" ht="15.75" thickBot="1" x14ac:dyDescent="0.3">
      <c r="I206" s="14"/>
      <c r="K206" s="4"/>
    </row>
  </sheetData>
  <scenarios current="0" show="0">
    <scenario name="discount increase by 10%" locked="1" count="10" user="admin" comment="Created by admin on 07-11-2025">
      <inputCells r="J3" val="0.3"/>
      <inputCells r="J4" val="0.3"/>
      <inputCells r="J5" val="0.1"/>
      <inputCells r="J6" val="0.25"/>
      <inputCells r="J7" val="0.45"/>
      <inputCells r="J8" val="0.1"/>
      <inputCells r="J9" val="0.05"/>
      <inputCells r="J10" val="0.2"/>
      <inputCells r="J11" val="0.05"/>
      <inputCells r="J12" val="0.05"/>
    </scenario>
    <scenario name="discount decrease by 10 %" locked="1" count="10" user="admin" comment="Created by admin on 07-11-2025">
      <inputCells r="J3" val="0.2"/>
      <inputCells r="J4" val="0.2"/>
      <inputCells r="J5" val="0"/>
      <inputCells r="J6" val="0.15"/>
      <inputCells r="J7" val="0.35"/>
      <inputCells r="J8" val="0.45"/>
      <inputCells r="J9" val="0.05"/>
      <inputCells r="J10" val="0.2"/>
      <inputCells r="J11" val="0.05"/>
      <inputCells r="J12" val="0.05"/>
    </scenario>
  </scenarios>
  <mergeCells count="1">
    <mergeCell ref="I1:L1"/>
  </mergeCells>
  <conditionalFormatting sqref="A2:B3 A5:A149">
    <cfRule type="iconSet" priority="5">
      <iconSet iconSet="3Arrows">
        <cfvo type="percent" val="0"/>
        <cfvo type="percent" val="33"/>
        <cfvo type="percent" val="67"/>
      </iconSet>
    </cfRule>
  </conditionalFormatting>
  <conditionalFormatting pivot="1" sqref="G9:G20">
    <cfRule type="iconSet" priority="3">
      <iconSet iconSet="3Arrows">
        <cfvo type="percent" val="0"/>
        <cfvo type="percent" val="33"/>
        <cfvo type="percent" val="67"/>
      </iconSet>
    </cfRule>
  </conditionalFormatting>
  <conditionalFormatting sqref="I13:I1048576">
    <cfRule type="top10" dxfId="1" priority="2" rank="1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Instructions</vt:lpstr>
      <vt:lpstr>zone wise sales</vt:lpstr>
      <vt:lpstr>Dataset</vt:lpstr>
      <vt:lpstr>deshboard</vt:lpstr>
      <vt:lpstr>whai if and arrow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admin</cp:lastModifiedBy>
  <cp:revision/>
  <dcterms:created xsi:type="dcterms:W3CDTF">2025-10-21T09:30:14Z</dcterms:created>
  <dcterms:modified xsi:type="dcterms:W3CDTF">2025-11-08T06:03:57Z</dcterms:modified>
  <cp:category/>
  <cp:contentStatus/>
</cp:coreProperties>
</file>